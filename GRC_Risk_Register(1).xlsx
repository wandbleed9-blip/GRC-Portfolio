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ssets" sheetId="2" state="visible" r:id="rId4"/>
    <sheet name="Annex A Reference" sheetId="3" state="visible" r:id="rId5"/>
    <sheet name="Risks" sheetId="4" state="visible" r:id="rId6"/>
    <sheet name="Control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<sst xmlns="http://schemas.openxmlformats.org/spreadsheetml/2006/main" count="382" uniqueCount="275">
  <si>
    <t xml:space="preserve">GRC Risk Register &amp; Control Mapping</t>
  </si>
  <si>
    <t xml:space="preserve">Home-lab GRC portfolio artifact — mapped to ISO/IEC 27001:2022 Annex A</t>
  </si>
  <si>
    <t xml:space="preserve">How this workbook is structured</t>
  </si>
  <si>
    <t xml:space="preserve">-------------------------------</t>
  </si>
  <si>
    <t xml:space="preserve">1. Assets          Physical or data</t>
  </si>
  <si>
    <t xml:space="preserve">2. Risks          — threats/vulnerabilities against those assets, scored by likelihood x impact.</t>
  </si>
  <si>
    <t xml:space="preserve">3. Controls       Mapped to one ISO 27001 Annex A control.</t>
  </si>
  <si>
    <t xml:space="preserve">4. Annex A Reference — the full list of all 93 Annex A controls (2022 revision), for lookup.</t>
  </si>
  <si>
    <t xml:space="preserve">Risk scoring key</t>
  </si>
  <si>
    <t xml:space="preserve">-----------------</t>
  </si>
  <si>
    <t xml:space="preserve">Likelihood (1-5): 1=Rare  2=Unlikely  3=Possible  4=Likely  5=Almost Certain</t>
  </si>
  <si>
    <t xml:space="preserve">Impact (1-5):      1=Negligible  2=Minor  3=Moderate  4=Major  5=Severe</t>
  </si>
  <si>
    <t xml:space="preserve">Risk Score = Likelihood x Impact (1-25)</t>
  </si>
  <si>
    <t xml:space="preserve">Risk Rating: 1-4 Low | 5-9 Medium | 10-14 High | 15-25 Critical</t>
  </si>
  <si>
    <t xml:space="preserve">Methodology</t>
  </si>
  <si>
    <t xml:space="preserve">-----------</t>
  </si>
  <si>
    <t xml:space="preserve">- This register reflects a basic home lab setup and will be subject to updating as time goes on</t>
  </si>
  <si>
    <t xml:space="preserve">Asset Register</t>
  </si>
  <si>
    <t xml:space="preserve">List every system, device, or information asset in scope.</t>
  </si>
  <si>
    <t xml:space="preserve">Asset ID</t>
  </si>
  <si>
    <t xml:space="preserve">Asset Name</t>
  </si>
  <si>
    <t xml:space="preserve">Description</t>
  </si>
  <si>
    <t xml:space="preserve">Category</t>
  </si>
  <si>
    <t xml:space="preserve">Owner</t>
  </si>
  <si>
    <t xml:space="preserve">Location</t>
  </si>
  <si>
    <t xml:space="preserve">AST-001</t>
  </si>
  <si>
    <t xml:space="preserve">Proxmox host (minipc)</t>
  </si>
  <si>
    <t xml:space="preserve">Hypervisor running Eramba, SQL sandbox, and lab VMs</t>
  </si>
  <si>
    <t xml:space="preserve">Hardware / Server</t>
  </si>
  <si>
    <t xml:space="preserve">Home lab admin</t>
  </si>
  <si>
    <t xml:space="preserve">Server Cupboard</t>
  </si>
  <si>
    <t xml:space="preserve">AST-002</t>
  </si>
  <si>
    <t xml:space="preserve">Flint 2 Router - GL-MT6000</t>
  </si>
  <si>
    <t xml:space="preserve">Home router providing internet access to the property</t>
  </si>
  <si>
    <t xml:space="preserve">Hardware </t>
  </si>
  <si>
    <t xml:space="preserve">AST-003</t>
  </si>
  <si>
    <t xml:space="preserve">ONT fibre box</t>
  </si>
  <si>
    <t xml:space="preserve">FTTP connection box</t>
  </si>
  <si>
    <t xml:space="preserve">Hardware</t>
  </si>
  <si>
    <t xml:space="preserve">Home lab admin / Internet provider</t>
  </si>
  <si>
    <t xml:space="preserve">AST-004</t>
  </si>
  <si>
    <t xml:space="preserve">Adguard on Proxmox</t>
  </si>
  <si>
    <t xml:space="preserve">Adguard running on proxmox, providing ad and malware blocking services</t>
  </si>
  <si>
    <t xml:space="preserve">Software</t>
  </si>
  <si>
    <t xml:space="preserve">Home Lab admin</t>
  </si>
  <si>
    <t xml:space="preserve">MiniPC </t>
  </si>
  <si>
    <t xml:space="preserve">ISO/IEC 27001:2022 Annex A — Full Control List</t>
  </si>
  <si>
    <t xml:space="preserve">All 93 controls across 4 themes. Reference only — do not edit.</t>
  </si>
  <si>
    <t xml:space="preserve">Control ID</t>
  </si>
  <si>
    <t xml:space="preserve">Theme</t>
  </si>
  <si>
    <t xml:space="preserve">Control Name</t>
  </si>
  <si>
    <t xml:space="preserve">A.5.1</t>
  </si>
  <si>
    <t xml:space="preserve">Organisational</t>
  </si>
  <si>
    <t xml:space="preserve">Policies for information security</t>
  </si>
  <si>
    <t xml:space="preserve">A.5.2</t>
  </si>
  <si>
    <t xml:space="preserve">Information security roles and responsibilities</t>
  </si>
  <si>
    <t xml:space="preserve">A.5.3</t>
  </si>
  <si>
    <t xml:space="preserve">Segregation of duties</t>
  </si>
  <si>
    <t xml:space="preserve">A.5.4</t>
  </si>
  <si>
    <t xml:space="preserve">Management responsibilities</t>
  </si>
  <si>
    <t xml:space="preserve">A.5.5</t>
  </si>
  <si>
    <t xml:space="preserve">Contact with authorities</t>
  </si>
  <si>
    <t xml:space="preserve">A.5.6</t>
  </si>
  <si>
    <t xml:space="preserve">Contact with special interest groups</t>
  </si>
  <si>
    <t xml:space="preserve">A.5.7</t>
  </si>
  <si>
    <t xml:space="preserve">Threat intelligence</t>
  </si>
  <si>
    <t xml:space="preserve">A.5.8</t>
  </si>
  <si>
    <t xml:space="preserve">Information security in project management</t>
  </si>
  <si>
    <t xml:space="preserve">A.5.9</t>
  </si>
  <si>
    <t xml:space="preserve">Inventory of information and other associated assets</t>
  </si>
  <si>
    <t xml:space="preserve">A.5.10</t>
  </si>
  <si>
    <t xml:space="preserve">Acceptable use of information and other associated assets</t>
  </si>
  <si>
    <t xml:space="preserve">A.5.11</t>
  </si>
  <si>
    <t xml:space="preserve">Return of assets</t>
  </si>
  <si>
    <t xml:space="preserve">A.5.12</t>
  </si>
  <si>
    <t xml:space="preserve">Classification of information</t>
  </si>
  <si>
    <t xml:space="preserve">A.5.13</t>
  </si>
  <si>
    <t xml:space="preserve">Labelling of information</t>
  </si>
  <si>
    <t xml:space="preserve">A.5.14</t>
  </si>
  <si>
    <t xml:space="preserve">Information transfer</t>
  </si>
  <si>
    <t xml:space="preserve">A.5.15</t>
  </si>
  <si>
    <t xml:space="preserve">Access control</t>
  </si>
  <si>
    <t xml:space="preserve">A.5.16</t>
  </si>
  <si>
    <t xml:space="preserve">Identity management</t>
  </si>
  <si>
    <t xml:space="preserve">A.5.17</t>
  </si>
  <si>
    <t xml:space="preserve">Authentication information</t>
  </si>
  <si>
    <t xml:space="preserve">A.5.18</t>
  </si>
  <si>
    <t xml:space="preserve">Access rights</t>
  </si>
  <si>
    <t xml:space="preserve">A.5.19</t>
  </si>
  <si>
    <t xml:space="preserve">Information security in supplier relationships</t>
  </si>
  <si>
    <t xml:space="preserve">A.5.20</t>
  </si>
  <si>
    <t xml:space="preserve">Addressing information security within supplier agreements</t>
  </si>
  <si>
    <t xml:space="preserve">A.5.21</t>
  </si>
  <si>
    <t xml:space="preserve">Managing information security in the ICT supply chain</t>
  </si>
  <si>
    <t xml:space="preserve">A.5.22</t>
  </si>
  <si>
    <t xml:space="preserve">Monitoring, review and change management of supplier services</t>
  </si>
  <si>
    <t xml:space="preserve">A.5.23</t>
  </si>
  <si>
    <t xml:space="preserve">Information security for use of cloud services</t>
  </si>
  <si>
    <t xml:space="preserve">A.5.24</t>
  </si>
  <si>
    <t xml:space="preserve">Information security incident management planning and preparation</t>
  </si>
  <si>
    <t xml:space="preserve">A.5.25</t>
  </si>
  <si>
    <t xml:space="preserve">Assessment and decision on information security events</t>
  </si>
  <si>
    <t xml:space="preserve">A.5.26</t>
  </si>
  <si>
    <t xml:space="preserve">Response to information security incidents</t>
  </si>
  <si>
    <t xml:space="preserve">A.5.27</t>
  </si>
  <si>
    <t xml:space="preserve">Learning from information security incidents</t>
  </si>
  <si>
    <t xml:space="preserve">A.5.28</t>
  </si>
  <si>
    <t xml:space="preserve">Collection of evidence</t>
  </si>
  <si>
    <t xml:space="preserve">A.5.29</t>
  </si>
  <si>
    <t xml:space="preserve">Information security during disruption</t>
  </si>
  <si>
    <t xml:space="preserve">A.5.30</t>
  </si>
  <si>
    <t xml:space="preserve">ICT readiness for business continuity</t>
  </si>
  <si>
    <t xml:space="preserve">A.5.31</t>
  </si>
  <si>
    <t xml:space="preserve">Legal, statutory, regulatory and contractual requirements</t>
  </si>
  <si>
    <t xml:space="preserve">A.5.32</t>
  </si>
  <si>
    <t xml:space="preserve">Intellectual property rights</t>
  </si>
  <si>
    <t xml:space="preserve">A.5.33</t>
  </si>
  <si>
    <t xml:space="preserve">Protection of records</t>
  </si>
  <si>
    <t xml:space="preserve">A.5.34</t>
  </si>
  <si>
    <t xml:space="preserve">Privacy and protection of PII</t>
  </si>
  <si>
    <t xml:space="preserve">A.5.35</t>
  </si>
  <si>
    <t xml:space="preserve">Independent review of information security</t>
  </si>
  <si>
    <t xml:space="preserve">A.5.36</t>
  </si>
  <si>
    <t xml:space="preserve">Compliance with policies, rules and standards for information security</t>
  </si>
  <si>
    <t xml:space="preserve">A.5.37</t>
  </si>
  <si>
    <t xml:space="preserve">Documented operating procedures</t>
  </si>
  <si>
    <t xml:space="preserve">A.6.1</t>
  </si>
  <si>
    <t xml:space="preserve">People</t>
  </si>
  <si>
    <t xml:space="preserve">Screening</t>
  </si>
  <si>
    <t xml:space="preserve">A.6.2</t>
  </si>
  <si>
    <t xml:space="preserve">Terms and conditions of employment</t>
  </si>
  <si>
    <t xml:space="preserve">A.6.3</t>
  </si>
  <si>
    <t xml:space="preserve">Information security awareness, education and training</t>
  </si>
  <si>
    <t xml:space="preserve">A.6.4</t>
  </si>
  <si>
    <t xml:space="preserve">Disciplinary process</t>
  </si>
  <si>
    <t xml:space="preserve">A.6.5</t>
  </si>
  <si>
    <t xml:space="preserve">Responsibilities after termination or change of employment</t>
  </si>
  <si>
    <t xml:space="preserve">A.6.6</t>
  </si>
  <si>
    <t xml:space="preserve">Confidentiality or non-disclosure agreements</t>
  </si>
  <si>
    <t xml:space="preserve">A.6.7</t>
  </si>
  <si>
    <t xml:space="preserve">Remote working</t>
  </si>
  <si>
    <t xml:space="preserve">A.6.8</t>
  </si>
  <si>
    <t xml:space="preserve">Information security event reporting</t>
  </si>
  <si>
    <t xml:space="preserve">A.7.1</t>
  </si>
  <si>
    <t xml:space="preserve">Physical</t>
  </si>
  <si>
    <t xml:space="preserve">Physical security perimeters</t>
  </si>
  <si>
    <t xml:space="preserve">A.7.2</t>
  </si>
  <si>
    <t xml:space="preserve">Physical entry</t>
  </si>
  <si>
    <t xml:space="preserve">A.7.3</t>
  </si>
  <si>
    <t xml:space="preserve">Securing offices, rooms and facilities</t>
  </si>
  <si>
    <t xml:space="preserve">A.7.4</t>
  </si>
  <si>
    <t xml:space="preserve">Physical security monitoring</t>
  </si>
  <si>
    <t xml:space="preserve">A.7.5</t>
  </si>
  <si>
    <t xml:space="preserve">Protecting against physical and environmental threats</t>
  </si>
  <si>
    <t xml:space="preserve">A.7.6</t>
  </si>
  <si>
    <t xml:space="preserve">Working in secure areas</t>
  </si>
  <si>
    <t xml:space="preserve">A.7.7</t>
  </si>
  <si>
    <t xml:space="preserve">Clear desk and clear screen</t>
  </si>
  <si>
    <t xml:space="preserve">A.7.8</t>
  </si>
  <si>
    <t xml:space="preserve">Equipment siting and protection</t>
  </si>
  <si>
    <t xml:space="preserve">A.7.9</t>
  </si>
  <si>
    <t xml:space="preserve">Security of assets off-premises</t>
  </si>
  <si>
    <t xml:space="preserve">A.7.10</t>
  </si>
  <si>
    <t xml:space="preserve">Storage media</t>
  </si>
  <si>
    <t xml:space="preserve">A.7.11</t>
  </si>
  <si>
    <t xml:space="preserve">Supporting utilities</t>
  </si>
  <si>
    <t xml:space="preserve">A.7.12</t>
  </si>
  <si>
    <t xml:space="preserve">Cabling security</t>
  </si>
  <si>
    <t xml:space="preserve">A.7.13</t>
  </si>
  <si>
    <t xml:space="preserve">Equipment maintenance</t>
  </si>
  <si>
    <t xml:space="preserve">A.7.14</t>
  </si>
  <si>
    <t xml:space="preserve">Secure disposal or re-use of equipment</t>
  </si>
  <si>
    <t xml:space="preserve">A.8.1</t>
  </si>
  <si>
    <t xml:space="preserve">Technological</t>
  </si>
  <si>
    <t xml:space="preserve">User endpoint devices</t>
  </si>
  <si>
    <t xml:space="preserve">A.8.2</t>
  </si>
  <si>
    <t xml:space="preserve">Privileged access rights</t>
  </si>
  <si>
    <t xml:space="preserve">A.8.3</t>
  </si>
  <si>
    <t xml:space="preserve">Information access restriction</t>
  </si>
  <si>
    <t xml:space="preserve">A.8.4</t>
  </si>
  <si>
    <t xml:space="preserve">Access to source code</t>
  </si>
  <si>
    <t xml:space="preserve">A.8.5</t>
  </si>
  <si>
    <t xml:space="preserve">Secure authentication</t>
  </si>
  <si>
    <t xml:space="preserve">A.8.6</t>
  </si>
  <si>
    <t xml:space="preserve">Capacity management</t>
  </si>
  <si>
    <t xml:space="preserve">A.8.7</t>
  </si>
  <si>
    <t xml:space="preserve">Protection against malware</t>
  </si>
  <si>
    <t xml:space="preserve">A.8.8</t>
  </si>
  <si>
    <t xml:space="preserve">Management of technical vulnerabilities</t>
  </si>
  <si>
    <t xml:space="preserve">A.8.9</t>
  </si>
  <si>
    <t xml:space="preserve">Configuration management</t>
  </si>
  <si>
    <t xml:space="preserve">A.8.10</t>
  </si>
  <si>
    <t xml:space="preserve">Information deletion</t>
  </si>
  <si>
    <t xml:space="preserve">A.8.11</t>
  </si>
  <si>
    <t xml:space="preserve">Data masking</t>
  </si>
  <si>
    <t xml:space="preserve">A.8.12</t>
  </si>
  <si>
    <t xml:space="preserve">Data leakage prevention</t>
  </si>
  <si>
    <t xml:space="preserve">A.8.13</t>
  </si>
  <si>
    <t xml:space="preserve">Information backup</t>
  </si>
  <si>
    <t xml:space="preserve">A.8.14</t>
  </si>
  <si>
    <t xml:space="preserve">Redundancy of information processing facilities</t>
  </si>
  <si>
    <t xml:space="preserve">A.8.15</t>
  </si>
  <si>
    <t xml:space="preserve">Logging</t>
  </si>
  <si>
    <t xml:space="preserve">A.8.16</t>
  </si>
  <si>
    <t xml:space="preserve">Monitoring activities</t>
  </si>
  <si>
    <t xml:space="preserve">A.8.17</t>
  </si>
  <si>
    <t xml:space="preserve">Clock synchronization</t>
  </si>
  <si>
    <t xml:space="preserve">A.8.18</t>
  </si>
  <si>
    <t xml:space="preserve">Use of privileged utility programs</t>
  </si>
  <si>
    <t xml:space="preserve">A.8.19</t>
  </si>
  <si>
    <t xml:space="preserve">Installation of software on operational systems</t>
  </si>
  <si>
    <t xml:space="preserve">A.8.20</t>
  </si>
  <si>
    <t xml:space="preserve">Networks security</t>
  </si>
  <si>
    <t xml:space="preserve">A.8.21</t>
  </si>
  <si>
    <t xml:space="preserve">Security of network services</t>
  </si>
  <si>
    <t xml:space="preserve">A.8.22</t>
  </si>
  <si>
    <t xml:space="preserve">Segregation of networks</t>
  </si>
  <si>
    <t xml:space="preserve">A.8.23</t>
  </si>
  <si>
    <t xml:space="preserve">Web filtering</t>
  </si>
  <si>
    <t xml:space="preserve">A.8.24</t>
  </si>
  <si>
    <t xml:space="preserve">Use of cryptography</t>
  </si>
  <si>
    <t xml:space="preserve">A.8.25</t>
  </si>
  <si>
    <t xml:space="preserve">Secure development life cycle</t>
  </si>
  <si>
    <t xml:space="preserve">A.8.26</t>
  </si>
  <si>
    <t xml:space="preserve">Application security requirements</t>
  </si>
  <si>
    <t xml:space="preserve">A.8.27</t>
  </si>
  <si>
    <t xml:space="preserve">Secure system architecture and engineering principles</t>
  </si>
  <si>
    <t xml:space="preserve">A.8.28</t>
  </si>
  <si>
    <t xml:space="preserve">Secure coding</t>
  </si>
  <si>
    <t xml:space="preserve">A.8.29</t>
  </si>
  <si>
    <t xml:space="preserve">Security testing in development and acceptance</t>
  </si>
  <si>
    <t xml:space="preserve">A.8.30</t>
  </si>
  <si>
    <t xml:space="preserve">Outsourced development</t>
  </si>
  <si>
    <t xml:space="preserve">A.8.31</t>
  </si>
  <si>
    <t xml:space="preserve">Separation of development, test and production environments</t>
  </si>
  <si>
    <t xml:space="preserve">A.8.32</t>
  </si>
  <si>
    <t xml:space="preserve">Change management</t>
  </si>
  <si>
    <t xml:space="preserve">A.8.33</t>
  </si>
  <si>
    <t xml:space="preserve">Test information</t>
  </si>
  <si>
    <t xml:space="preserve">A.8.34</t>
  </si>
  <si>
    <t xml:space="preserve">Protection of information systems during audit testing</t>
  </si>
  <si>
    <t xml:space="preserve">Risk Register</t>
  </si>
  <si>
    <t xml:space="preserve">One row per identified risk. Score and Rating calculate automatically.</t>
  </si>
  <si>
    <t xml:space="preserve">Risk ID</t>
  </si>
  <si>
    <t xml:space="preserve">Risk Description</t>
  </si>
  <si>
    <t xml:space="preserve">Likelihood (1-5)</t>
  </si>
  <si>
    <t xml:space="preserve">Impact (1-5)</t>
  </si>
  <si>
    <t xml:space="preserve">Risk Score</t>
  </si>
  <si>
    <t xml:space="preserve">Risk Rating</t>
  </si>
  <si>
    <t xml:space="preserve">Risk Owner</t>
  </si>
  <si>
    <t xml:space="preserve">RSK-001</t>
  </si>
  <si>
    <t xml:space="preserve">Router firmware bug causes loss of network segmentation, exposing lab systems to the main LAN</t>
  </si>
  <si>
    <t xml:space="preserve">RSK-002</t>
  </si>
  <si>
    <t xml:space="preserve">Hardware failure of the Proxmox host (MiniPC) resulting in loss of hosted services</t>
  </si>
  <si>
    <t xml:space="preserve">RSK-003</t>
  </si>
  <si>
    <t xml:space="preserve">Adguard stops running for multiple reasons</t>
  </si>
  <si>
    <t xml:space="preserve">Control Register</t>
  </si>
  <si>
    <t xml:space="preserve">Each control maps to one Annex A clause and treats one or more risks.</t>
  </si>
  <si>
    <t xml:space="preserve">Internal Control ID</t>
  </si>
  <si>
    <t xml:space="preserve">Annex A Control ID</t>
  </si>
  <si>
    <t xml:space="preserve">Annex A Control Name</t>
  </si>
  <si>
    <t xml:space="preserve">Risk ID Treated</t>
  </si>
  <si>
    <t xml:space="preserve">Implementation Description</t>
  </si>
  <si>
    <t xml:space="preserve">Status</t>
  </si>
  <si>
    <t xml:space="preserve">Evidence / Notes</t>
  </si>
  <si>
    <t xml:space="preserve">CTL-001</t>
  </si>
  <si>
    <t xml:space="preserve">Lab VMs isolated on a dedicated internal Proxmox bridge (vmbr1) with no physical uplink; NAT egress only, no inbound access from main LAN except via SSH tunnel</t>
  </si>
  <si>
    <t xml:space="preserve">Implemented</t>
  </si>
  <si>
    <t xml:space="preserve">Verified 30 Aug 2026: main-LAN device cannot reach 10.10.10.x directly; Eramba reachable only via SSH tunnel</t>
  </si>
  <si>
    <t xml:space="preserve">CTL-002</t>
  </si>
  <si>
    <t xml:space="preserve">Carrying out periodic tasks such as renewing thermal paste and general dusting of the unit.</t>
  </si>
  <si>
    <t xml:space="preserve">Proxmox dashboard available for verification</t>
  </si>
  <si>
    <t xml:space="preserve">CTL-003</t>
  </si>
  <si>
    <t xml:space="preserve">A backup instance of Adguard is running alongside the primary.  Should the primary fail the secondary will takeover.  </t>
  </si>
  <si>
    <t xml:space="preserve">Can view the dashboard to observe the two adguards installed and running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</si>
</sst>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color theme="1"/>
      <name val="Arial"/>
      <family val="0"/>
      <charset val="1"/>
    </font>
    <font>
      <b val="true"/>
      <sz val="10"/>
      <color theme="1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80808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8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110"/>
    <col collapsed="false" customWidth="true" hidden="false" outlineLevel="0" max="26" min="2" style="0" width="8.71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 t="s">
        <v>7</v>
      </c>
    </row>
    <row r="10" customFormat="false" ht="15" hidden="false" customHeight="false" outlineLevel="0" collapsed="false">
      <c r="A10" s="3"/>
    </row>
    <row r="11" customFormat="false" ht="15.75" hidden="false" customHeight="true" outlineLevel="0" collapsed="false">
      <c r="A11" s="4" t="s">
        <v>8</v>
      </c>
    </row>
    <row r="12" customFormat="false" ht="15.75" hidden="false" customHeight="true" outlineLevel="0" collapsed="false">
      <c r="A12" s="3" t="s">
        <v>9</v>
      </c>
    </row>
    <row r="13" customFormat="false" ht="15.75" hidden="false" customHeight="true" outlineLevel="0" collapsed="false">
      <c r="A13" s="3" t="s">
        <v>10</v>
      </c>
    </row>
    <row r="14" customFormat="false" ht="15.75" hidden="false" customHeight="true" outlineLevel="0" collapsed="false">
      <c r="A14" s="3" t="s">
        <v>11</v>
      </c>
    </row>
    <row r="15" customFormat="false" ht="15.75" hidden="false" customHeight="true" outlineLevel="0" collapsed="false">
      <c r="A15" s="3" t="s">
        <v>12</v>
      </c>
    </row>
    <row r="16" customFormat="false" ht="15.75" hidden="false" customHeight="true" outlineLevel="0" collapsed="false">
      <c r="A16" s="3" t="s">
        <v>13</v>
      </c>
    </row>
    <row r="17" customFormat="false" ht="15.75" hidden="false" customHeight="true" outlineLevel="0" collapsed="false">
      <c r="A17" s="3"/>
    </row>
    <row r="18" customFormat="false" ht="15.75" hidden="false" customHeight="true" outlineLevel="0" collapsed="false">
      <c r="A18" s="4" t="s">
        <v>14</v>
      </c>
    </row>
    <row r="19" customFormat="false" ht="15.75" hidden="false" customHeight="true" outlineLevel="0" collapsed="false">
      <c r="A19" s="3" t="s">
        <v>15</v>
      </c>
    </row>
    <row r="20" customFormat="false" ht="15.75" hidden="false" customHeight="true" outlineLevel="0" collapsed="false">
      <c r="A20" s="3" t="s">
        <v>16</v>
      </c>
    </row>
    <row r="21" customFormat="false" ht="15.75" hidden="false" customHeight="true" outlineLevel="0" collapsed="false">
      <c r="A21" s="3"/>
    </row>
    <row r="22" customFormat="false" ht="15.75" hidden="false" customHeight="true" outlineLevel="0" collapsed="false">
      <c r="A22" s="3"/>
    </row>
    <row r="23" customFormat="false" ht="15.75" hidden="false" customHeight="true" outlineLevel="0" collapsed="false">
      <c r="A23" s="3"/>
    </row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B6" activeCellId="0" sqref="B6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66.43"/>
    <col collapsed="false" customWidth="true" hidden="false" outlineLevel="0" max="4" min="4" style="0" width="20"/>
    <col collapsed="false" customWidth="true" hidden="false" outlineLevel="0" max="5" min="5" style="0" width="35"/>
    <col collapsed="false" customWidth="true" hidden="false" outlineLevel="0" max="6" min="6" style="0" width="16"/>
    <col collapsed="false" customWidth="true" hidden="false" outlineLevel="0" max="26" min="7" style="0" width="8.71"/>
  </cols>
  <sheetData>
    <row r="1" customFormat="false" ht="21.75" hidden="false" customHeight="true" outlineLevel="0" collapsed="false">
      <c r="A1" s="5" t="s">
        <v>17</v>
      </c>
      <c r="B1" s="5"/>
      <c r="C1" s="5"/>
      <c r="D1" s="5"/>
      <c r="E1" s="5"/>
      <c r="F1" s="5"/>
    </row>
    <row r="2" customFormat="false" ht="15.75" hidden="false" customHeight="true" outlineLevel="0" collapsed="false">
      <c r="A2" s="6" t="s">
        <v>18</v>
      </c>
      <c r="B2" s="6"/>
      <c r="C2" s="6"/>
      <c r="D2" s="6"/>
      <c r="E2" s="6"/>
      <c r="F2" s="6"/>
    </row>
    <row r="4" customFormat="false" ht="30" hidden="false" customHeight="true" outlineLevel="0" collapsed="false">
      <c r="A4" s="7" t="s">
        <v>19</v>
      </c>
      <c r="B4" s="7" t="s">
        <v>20</v>
      </c>
      <c r="C4" s="7" t="s">
        <v>21</v>
      </c>
      <c r="D4" s="7" t="s">
        <v>22</v>
      </c>
      <c r="E4" s="7" t="s">
        <v>23</v>
      </c>
      <c r="F4" s="7" t="s">
        <v>24</v>
      </c>
    </row>
    <row r="5" customFormat="false" ht="15" hidden="false" customHeight="false" outlineLevel="0" collapsed="false">
      <c r="A5" s="8" t="s">
        <v>25</v>
      </c>
      <c r="B5" s="8" t="s">
        <v>26</v>
      </c>
      <c r="C5" s="8" t="s">
        <v>27</v>
      </c>
      <c r="D5" s="8" t="s">
        <v>28</v>
      </c>
      <c r="E5" s="8" t="s">
        <v>29</v>
      </c>
      <c r="F5" s="8" t="s">
        <v>30</v>
      </c>
    </row>
    <row r="6" customFormat="false" ht="15" hidden="false" customHeight="false" outlineLevel="0" collapsed="false">
      <c r="A6" s="9" t="s">
        <v>31</v>
      </c>
      <c r="B6" s="9" t="s">
        <v>32</v>
      </c>
      <c r="C6" s="9" t="s">
        <v>33</v>
      </c>
      <c r="D6" s="9" t="s">
        <v>34</v>
      </c>
      <c r="E6" s="9" t="s">
        <v>29</v>
      </c>
      <c r="F6" s="9" t="s">
        <v>30</v>
      </c>
    </row>
    <row r="7" customFormat="false" ht="15" hidden="false" customHeight="false" outlineLevel="0" collapsed="false">
      <c r="A7" s="9" t="s">
        <v>35</v>
      </c>
      <c r="B7" s="9" t="s">
        <v>36</v>
      </c>
      <c r="C7" s="9" t="s">
        <v>37</v>
      </c>
      <c r="D7" s="9" t="s">
        <v>38</v>
      </c>
      <c r="E7" s="9" t="s">
        <v>39</v>
      </c>
      <c r="F7" s="9" t="s">
        <v>30</v>
      </c>
    </row>
    <row r="8" customFormat="false" ht="15" hidden="false" customHeight="false" outlineLevel="0" collapsed="false">
      <c r="A8" s="9" t="s">
        <v>40</v>
      </c>
      <c r="B8" s="9" t="s">
        <v>41</v>
      </c>
      <c r="C8" s="9" t="s">
        <v>42</v>
      </c>
      <c r="D8" s="9" t="s">
        <v>43</v>
      </c>
      <c r="E8" s="9" t="s">
        <v>44</v>
      </c>
      <c r="F8" s="9" t="s">
        <v>45</v>
      </c>
    </row>
    <row r="9" customFormat="false" ht="15" hidden="false" customHeight="false" outlineLevel="0" collapsed="false">
      <c r="A9" s="9"/>
      <c r="B9" s="9"/>
      <c r="C9" s="9"/>
      <c r="D9" s="9"/>
      <c r="E9" s="9"/>
      <c r="F9" s="9"/>
    </row>
    <row r="10" customFormat="false" ht="15" hidden="false" customHeight="false" outlineLevel="0" collapsed="false">
      <c r="A10" s="9"/>
      <c r="B10" s="9"/>
      <c r="C10" s="9"/>
      <c r="D10" s="9"/>
      <c r="E10" s="9"/>
      <c r="F10" s="9"/>
    </row>
    <row r="11" customFormat="false" ht="15" hidden="false" customHeight="false" outlineLevel="0" collapsed="false">
      <c r="A11" s="9"/>
      <c r="B11" s="9"/>
      <c r="C11" s="9"/>
      <c r="D11" s="9"/>
      <c r="E11" s="9"/>
      <c r="F11" s="9"/>
    </row>
    <row r="12" customFormat="false" ht="15" hidden="false" customHeight="false" outlineLevel="0" collapsed="false">
      <c r="A12" s="9"/>
      <c r="B12" s="9"/>
      <c r="C12" s="9"/>
      <c r="D12" s="9"/>
      <c r="E12" s="9"/>
      <c r="F12" s="9"/>
    </row>
    <row r="13" customFormat="false" ht="15" hidden="false" customHeight="false" outlineLevel="0" collapsed="false">
      <c r="A13" s="9"/>
      <c r="B13" s="9"/>
      <c r="C13" s="9"/>
      <c r="D13" s="9"/>
      <c r="E13" s="9"/>
      <c r="F13" s="9"/>
    </row>
    <row r="14" customFormat="false" ht="15" hidden="false" customHeight="false" outlineLevel="0" collapsed="false">
      <c r="A14" s="9"/>
      <c r="B14" s="9"/>
      <c r="C14" s="9"/>
      <c r="D14" s="9"/>
      <c r="E14" s="9"/>
      <c r="F14" s="9"/>
    </row>
    <row r="15" customFormat="false" ht="15" hidden="false" customHeight="false" outlineLevel="0" collapsed="false">
      <c r="A15" s="9"/>
      <c r="B15" s="9"/>
      <c r="C15" s="9"/>
      <c r="D15" s="9"/>
      <c r="E15" s="9"/>
      <c r="F15" s="9"/>
    </row>
    <row r="16" customFormat="false" ht="15" hidden="false" customHeight="false" outlineLevel="0" collapsed="false">
      <c r="A16" s="9"/>
      <c r="B16" s="9"/>
      <c r="C16" s="9"/>
      <c r="D16" s="9"/>
      <c r="E16" s="9"/>
      <c r="F16" s="9"/>
    </row>
    <row r="17" customFormat="false" ht="15" hidden="false" customHeight="false" outlineLevel="0" collapsed="false">
      <c r="A17" s="9"/>
      <c r="B17" s="9"/>
      <c r="C17" s="9"/>
      <c r="D17" s="9"/>
      <c r="E17" s="9"/>
      <c r="F17" s="9"/>
    </row>
    <row r="18" customFormat="false" ht="15" hidden="false" customHeight="false" outlineLevel="0" collapsed="false">
      <c r="A18" s="9"/>
      <c r="B18" s="9"/>
      <c r="C18" s="9"/>
      <c r="D18" s="9"/>
      <c r="E18" s="9"/>
      <c r="F18" s="9"/>
    </row>
    <row r="19" customFormat="false" ht="15" hidden="false" customHeight="false" outlineLevel="0" collapsed="false">
      <c r="A19" s="9"/>
      <c r="B19" s="9"/>
      <c r="C19" s="9"/>
      <c r="D19" s="9"/>
      <c r="E19" s="9"/>
      <c r="F19" s="9"/>
    </row>
    <row r="20" customFormat="false" ht="15" hidden="false" customHeight="false" outlineLevel="0" collapsed="false">
      <c r="A20" s="9"/>
      <c r="B20" s="9"/>
      <c r="C20" s="9"/>
      <c r="D20" s="9"/>
      <c r="E20" s="9"/>
      <c r="F20" s="9"/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B6" activeCellId="0" sqref="B6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60"/>
    <col collapsed="false" customWidth="true" hidden="false" outlineLevel="0" max="26" min="4" style="0" width="8.71"/>
  </cols>
  <sheetData>
    <row r="1" customFormat="false" ht="21.75" hidden="false" customHeight="true" outlineLevel="0" collapsed="false">
      <c r="A1" s="5" t="s">
        <v>46</v>
      </c>
      <c r="B1" s="5"/>
      <c r="C1" s="5"/>
    </row>
    <row r="2" customFormat="false" ht="15.75" hidden="false" customHeight="true" outlineLevel="0" collapsed="false">
      <c r="A2" s="6" t="s">
        <v>47</v>
      </c>
      <c r="B2" s="6"/>
      <c r="C2" s="6"/>
    </row>
    <row r="4" customFormat="false" ht="15" hidden="false" customHeight="false" outlineLevel="0" collapsed="false">
      <c r="A4" s="7" t="s">
        <v>48</v>
      </c>
      <c r="B4" s="7" t="s">
        <v>49</v>
      </c>
      <c r="C4" s="7" t="s">
        <v>50</v>
      </c>
    </row>
    <row r="5" customFormat="false" ht="15" hidden="false" customHeight="false" outlineLevel="0" collapsed="false">
      <c r="A5" s="10" t="s">
        <v>51</v>
      </c>
      <c r="B5" s="10" t="s">
        <v>52</v>
      </c>
      <c r="C5" s="10" t="s">
        <v>53</v>
      </c>
    </row>
    <row r="6" customFormat="false" ht="15" hidden="false" customHeight="false" outlineLevel="0" collapsed="false">
      <c r="A6" s="10" t="s">
        <v>54</v>
      </c>
      <c r="B6" s="10" t="s">
        <v>52</v>
      </c>
      <c r="C6" s="10" t="s">
        <v>55</v>
      </c>
    </row>
    <row r="7" customFormat="false" ht="15" hidden="false" customHeight="false" outlineLevel="0" collapsed="false">
      <c r="A7" s="10" t="s">
        <v>56</v>
      </c>
      <c r="B7" s="10" t="s">
        <v>52</v>
      </c>
      <c r="C7" s="10" t="s">
        <v>57</v>
      </c>
    </row>
    <row r="8" customFormat="false" ht="15" hidden="false" customHeight="false" outlineLevel="0" collapsed="false">
      <c r="A8" s="10" t="s">
        <v>58</v>
      </c>
      <c r="B8" s="10" t="s">
        <v>52</v>
      </c>
      <c r="C8" s="10" t="s">
        <v>59</v>
      </c>
    </row>
    <row r="9" customFormat="false" ht="15" hidden="false" customHeight="false" outlineLevel="0" collapsed="false">
      <c r="A9" s="10" t="s">
        <v>60</v>
      </c>
      <c r="B9" s="10" t="s">
        <v>52</v>
      </c>
      <c r="C9" s="10" t="s">
        <v>61</v>
      </c>
    </row>
    <row r="10" customFormat="false" ht="15" hidden="false" customHeight="false" outlineLevel="0" collapsed="false">
      <c r="A10" s="10" t="s">
        <v>62</v>
      </c>
      <c r="B10" s="10" t="s">
        <v>52</v>
      </c>
      <c r="C10" s="10" t="s">
        <v>63</v>
      </c>
    </row>
    <row r="11" customFormat="false" ht="15" hidden="false" customHeight="false" outlineLevel="0" collapsed="false">
      <c r="A11" s="10" t="s">
        <v>64</v>
      </c>
      <c r="B11" s="10" t="s">
        <v>52</v>
      </c>
      <c r="C11" s="10" t="s">
        <v>65</v>
      </c>
    </row>
    <row r="12" customFormat="false" ht="15" hidden="false" customHeight="false" outlineLevel="0" collapsed="false">
      <c r="A12" s="10" t="s">
        <v>66</v>
      </c>
      <c r="B12" s="10" t="s">
        <v>52</v>
      </c>
      <c r="C12" s="10" t="s">
        <v>67</v>
      </c>
    </row>
    <row r="13" customFormat="false" ht="15" hidden="false" customHeight="false" outlineLevel="0" collapsed="false">
      <c r="A13" s="10" t="s">
        <v>68</v>
      </c>
      <c r="B13" s="10" t="s">
        <v>52</v>
      </c>
      <c r="C13" s="10" t="s">
        <v>69</v>
      </c>
    </row>
    <row r="14" customFormat="false" ht="15" hidden="false" customHeight="false" outlineLevel="0" collapsed="false">
      <c r="A14" s="10" t="s">
        <v>70</v>
      </c>
      <c r="B14" s="10" t="s">
        <v>52</v>
      </c>
      <c r="C14" s="10" t="s">
        <v>71</v>
      </c>
    </row>
    <row r="15" customFormat="false" ht="15" hidden="false" customHeight="false" outlineLevel="0" collapsed="false">
      <c r="A15" s="10" t="s">
        <v>72</v>
      </c>
      <c r="B15" s="10" t="s">
        <v>52</v>
      </c>
      <c r="C15" s="10" t="s">
        <v>73</v>
      </c>
    </row>
    <row r="16" customFormat="false" ht="15" hidden="false" customHeight="false" outlineLevel="0" collapsed="false">
      <c r="A16" s="10" t="s">
        <v>74</v>
      </c>
      <c r="B16" s="10" t="s">
        <v>52</v>
      </c>
      <c r="C16" s="10" t="s">
        <v>75</v>
      </c>
    </row>
    <row r="17" customFormat="false" ht="15" hidden="false" customHeight="false" outlineLevel="0" collapsed="false">
      <c r="A17" s="10" t="s">
        <v>76</v>
      </c>
      <c r="B17" s="10" t="s">
        <v>52</v>
      </c>
      <c r="C17" s="10" t="s">
        <v>77</v>
      </c>
    </row>
    <row r="18" customFormat="false" ht="15" hidden="false" customHeight="false" outlineLevel="0" collapsed="false">
      <c r="A18" s="10" t="s">
        <v>78</v>
      </c>
      <c r="B18" s="10" t="s">
        <v>52</v>
      </c>
      <c r="C18" s="10" t="s">
        <v>79</v>
      </c>
    </row>
    <row r="19" customFormat="false" ht="15" hidden="false" customHeight="false" outlineLevel="0" collapsed="false">
      <c r="A19" s="10" t="s">
        <v>80</v>
      </c>
      <c r="B19" s="10" t="s">
        <v>52</v>
      </c>
      <c r="C19" s="10" t="s">
        <v>81</v>
      </c>
    </row>
    <row r="20" customFormat="false" ht="15" hidden="false" customHeight="false" outlineLevel="0" collapsed="false">
      <c r="A20" s="10" t="s">
        <v>82</v>
      </c>
      <c r="B20" s="10" t="s">
        <v>52</v>
      </c>
      <c r="C20" s="10" t="s">
        <v>83</v>
      </c>
    </row>
    <row r="21" customFormat="false" ht="15.75" hidden="false" customHeight="true" outlineLevel="0" collapsed="false">
      <c r="A21" s="10" t="s">
        <v>84</v>
      </c>
      <c r="B21" s="10" t="s">
        <v>52</v>
      </c>
      <c r="C21" s="10" t="s">
        <v>85</v>
      </c>
    </row>
    <row r="22" customFormat="false" ht="15.75" hidden="false" customHeight="true" outlineLevel="0" collapsed="false">
      <c r="A22" s="10" t="s">
        <v>86</v>
      </c>
      <c r="B22" s="10" t="s">
        <v>52</v>
      </c>
      <c r="C22" s="10" t="s">
        <v>87</v>
      </c>
    </row>
    <row r="23" customFormat="false" ht="15.75" hidden="false" customHeight="true" outlineLevel="0" collapsed="false">
      <c r="A23" s="10" t="s">
        <v>88</v>
      </c>
      <c r="B23" s="10" t="s">
        <v>52</v>
      </c>
      <c r="C23" s="10" t="s">
        <v>89</v>
      </c>
    </row>
    <row r="24" customFormat="false" ht="15.75" hidden="false" customHeight="true" outlineLevel="0" collapsed="false">
      <c r="A24" s="10" t="s">
        <v>90</v>
      </c>
      <c r="B24" s="10" t="s">
        <v>52</v>
      </c>
      <c r="C24" s="10" t="s">
        <v>91</v>
      </c>
    </row>
    <row r="25" customFormat="false" ht="15.75" hidden="false" customHeight="true" outlineLevel="0" collapsed="false">
      <c r="A25" s="10" t="s">
        <v>92</v>
      </c>
      <c r="B25" s="10" t="s">
        <v>52</v>
      </c>
      <c r="C25" s="10" t="s">
        <v>93</v>
      </c>
    </row>
    <row r="26" customFormat="false" ht="15.75" hidden="false" customHeight="true" outlineLevel="0" collapsed="false">
      <c r="A26" s="10" t="s">
        <v>94</v>
      </c>
      <c r="B26" s="10" t="s">
        <v>52</v>
      </c>
      <c r="C26" s="10" t="s">
        <v>95</v>
      </c>
    </row>
    <row r="27" customFormat="false" ht="15.75" hidden="false" customHeight="true" outlineLevel="0" collapsed="false">
      <c r="A27" s="10" t="s">
        <v>96</v>
      </c>
      <c r="B27" s="10" t="s">
        <v>52</v>
      </c>
      <c r="C27" s="10" t="s">
        <v>97</v>
      </c>
    </row>
    <row r="28" customFormat="false" ht="15.75" hidden="false" customHeight="true" outlineLevel="0" collapsed="false">
      <c r="A28" s="10" t="s">
        <v>98</v>
      </c>
      <c r="B28" s="10" t="s">
        <v>52</v>
      </c>
      <c r="C28" s="10" t="s">
        <v>99</v>
      </c>
    </row>
    <row r="29" customFormat="false" ht="15.75" hidden="false" customHeight="true" outlineLevel="0" collapsed="false">
      <c r="A29" s="10" t="s">
        <v>100</v>
      </c>
      <c r="B29" s="10" t="s">
        <v>52</v>
      </c>
      <c r="C29" s="10" t="s">
        <v>101</v>
      </c>
    </row>
    <row r="30" customFormat="false" ht="15.75" hidden="false" customHeight="true" outlineLevel="0" collapsed="false">
      <c r="A30" s="10" t="s">
        <v>102</v>
      </c>
      <c r="B30" s="10" t="s">
        <v>52</v>
      </c>
      <c r="C30" s="10" t="s">
        <v>103</v>
      </c>
    </row>
    <row r="31" customFormat="false" ht="15.75" hidden="false" customHeight="true" outlineLevel="0" collapsed="false">
      <c r="A31" s="10" t="s">
        <v>104</v>
      </c>
      <c r="B31" s="10" t="s">
        <v>52</v>
      </c>
      <c r="C31" s="10" t="s">
        <v>105</v>
      </c>
    </row>
    <row r="32" customFormat="false" ht="15.75" hidden="false" customHeight="true" outlineLevel="0" collapsed="false">
      <c r="A32" s="10" t="s">
        <v>106</v>
      </c>
      <c r="B32" s="10" t="s">
        <v>52</v>
      </c>
      <c r="C32" s="10" t="s">
        <v>107</v>
      </c>
    </row>
    <row r="33" customFormat="false" ht="15.75" hidden="false" customHeight="true" outlineLevel="0" collapsed="false">
      <c r="A33" s="10" t="s">
        <v>108</v>
      </c>
      <c r="B33" s="10" t="s">
        <v>52</v>
      </c>
      <c r="C33" s="10" t="s">
        <v>109</v>
      </c>
    </row>
    <row r="34" customFormat="false" ht="15.75" hidden="false" customHeight="true" outlineLevel="0" collapsed="false">
      <c r="A34" s="10" t="s">
        <v>110</v>
      </c>
      <c r="B34" s="10" t="s">
        <v>52</v>
      </c>
      <c r="C34" s="10" t="s">
        <v>111</v>
      </c>
    </row>
    <row r="35" customFormat="false" ht="15.75" hidden="false" customHeight="true" outlineLevel="0" collapsed="false">
      <c r="A35" s="10" t="s">
        <v>112</v>
      </c>
      <c r="B35" s="10" t="s">
        <v>52</v>
      </c>
      <c r="C35" s="10" t="s">
        <v>113</v>
      </c>
    </row>
    <row r="36" customFormat="false" ht="15.75" hidden="false" customHeight="true" outlineLevel="0" collapsed="false">
      <c r="A36" s="10" t="s">
        <v>114</v>
      </c>
      <c r="B36" s="10" t="s">
        <v>52</v>
      </c>
      <c r="C36" s="10" t="s">
        <v>115</v>
      </c>
    </row>
    <row r="37" customFormat="false" ht="15.75" hidden="false" customHeight="true" outlineLevel="0" collapsed="false">
      <c r="A37" s="10" t="s">
        <v>116</v>
      </c>
      <c r="B37" s="10" t="s">
        <v>52</v>
      </c>
      <c r="C37" s="10" t="s">
        <v>117</v>
      </c>
    </row>
    <row r="38" customFormat="false" ht="15.75" hidden="false" customHeight="true" outlineLevel="0" collapsed="false">
      <c r="A38" s="10" t="s">
        <v>118</v>
      </c>
      <c r="B38" s="10" t="s">
        <v>52</v>
      </c>
      <c r="C38" s="10" t="s">
        <v>119</v>
      </c>
    </row>
    <row r="39" customFormat="false" ht="15.75" hidden="false" customHeight="true" outlineLevel="0" collapsed="false">
      <c r="A39" s="10" t="s">
        <v>120</v>
      </c>
      <c r="B39" s="10" t="s">
        <v>52</v>
      </c>
      <c r="C39" s="10" t="s">
        <v>121</v>
      </c>
    </row>
    <row r="40" customFormat="false" ht="15.75" hidden="false" customHeight="true" outlineLevel="0" collapsed="false">
      <c r="A40" s="10" t="s">
        <v>122</v>
      </c>
      <c r="B40" s="10" t="s">
        <v>52</v>
      </c>
      <c r="C40" s="10" t="s">
        <v>123</v>
      </c>
    </row>
    <row r="41" customFormat="false" ht="15.75" hidden="false" customHeight="true" outlineLevel="0" collapsed="false">
      <c r="A41" s="10" t="s">
        <v>124</v>
      </c>
      <c r="B41" s="10" t="s">
        <v>52</v>
      </c>
      <c r="C41" s="10" t="s">
        <v>125</v>
      </c>
    </row>
    <row r="42" customFormat="false" ht="15.75" hidden="false" customHeight="true" outlineLevel="0" collapsed="false">
      <c r="A42" s="11" t="s">
        <v>126</v>
      </c>
      <c r="B42" s="11" t="s">
        <v>127</v>
      </c>
      <c r="C42" s="11" t="s">
        <v>128</v>
      </c>
    </row>
    <row r="43" customFormat="false" ht="15.75" hidden="false" customHeight="true" outlineLevel="0" collapsed="false">
      <c r="A43" s="11" t="s">
        <v>129</v>
      </c>
      <c r="B43" s="11" t="s">
        <v>127</v>
      </c>
      <c r="C43" s="11" t="s">
        <v>130</v>
      </c>
    </row>
    <row r="44" customFormat="false" ht="15.75" hidden="false" customHeight="true" outlineLevel="0" collapsed="false">
      <c r="A44" s="11" t="s">
        <v>131</v>
      </c>
      <c r="B44" s="11" t="s">
        <v>127</v>
      </c>
      <c r="C44" s="11" t="s">
        <v>132</v>
      </c>
    </row>
    <row r="45" customFormat="false" ht="15.75" hidden="false" customHeight="true" outlineLevel="0" collapsed="false">
      <c r="A45" s="11" t="s">
        <v>133</v>
      </c>
      <c r="B45" s="11" t="s">
        <v>127</v>
      </c>
      <c r="C45" s="11" t="s">
        <v>134</v>
      </c>
    </row>
    <row r="46" customFormat="false" ht="15.75" hidden="false" customHeight="true" outlineLevel="0" collapsed="false">
      <c r="A46" s="11" t="s">
        <v>135</v>
      </c>
      <c r="B46" s="11" t="s">
        <v>127</v>
      </c>
      <c r="C46" s="11" t="s">
        <v>136</v>
      </c>
    </row>
    <row r="47" customFormat="false" ht="15.75" hidden="false" customHeight="true" outlineLevel="0" collapsed="false">
      <c r="A47" s="11" t="s">
        <v>137</v>
      </c>
      <c r="B47" s="11" t="s">
        <v>127</v>
      </c>
      <c r="C47" s="11" t="s">
        <v>138</v>
      </c>
    </row>
    <row r="48" customFormat="false" ht="15.75" hidden="false" customHeight="true" outlineLevel="0" collapsed="false">
      <c r="A48" s="11" t="s">
        <v>139</v>
      </c>
      <c r="B48" s="11" t="s">
        <v>127</v>
      </c>
      <c r="C48" s="11" t="s">
        <v>140</v>
      </c>
    </row>
    <row r="49" customFormat="false" ht="15.75" hidden="false" customHeight="true" outlineLevel="0" collapsed="false">
      <c r="A49" s="11" t="s">
        <v>141</v>
      </c>
      <c r="B49" s="11" t="s">
        <v>127</v>
      </c>
      <c r="C49" s="11" t="s">
        <v>142</v>
      </c>
    </row>
    <row r="50" customFormat="false" ht="15.75" hidden="false" customHeight="true" outlineLevel="0" collapsed="false">
      <c r="A50" s="12" t="s">
        <v>143</v>
      </c>
      <c r="B50" s="12" t="s">
        <v>144</v>
      </c>
      <c r="C50" s="12" t="s">
        <v>145</v>
      </c>
    </row>
    <row r="51" customFormat="false" ht="15.75" hidden="false" customHeight="true" outlineLevel="0" collapsed="false">
      <c r="A51" s="12" t="s">
        <v>146</v>
      </c>
      <c r="B51" s="12" t="s">
        <v>144</v>
      </c>
      <c r="C51" s="12" t="s">
        <v>147</v>
      </c>
    </row>
    <row r="52" customFormat="false" ht="15.75" hidden="false" customHeight="true" outlineLevel="0" collapsed="false">
      <c r="A52" s="12" t="s">
        <v>148</v>
      </c>
      <c r="B52" s="12" t="s">
        <v>144</v>
      </c>
      <c r="C52" s="12" t="s">
        <v>149</v>
      </c>
    </row>
    <row r="53" customFormat="false" ht="15.75" hidden="false" customHeight="true" outlineLevel="0" collapsed="false">
      <c r="A53" s="12" t="s">
        <v>150</v>
      </c>
      <c r="B53" s="12" t="s">
        <v>144</v>
      </c>
      <c r="C53" s="12" t="s">
        <v>151</v>
      </c>
    </row>
    <row r="54" customFormat="false" ht="15.75" hidden="false" customHeight="true" outlineLevel="0" collapsed="false">
      <c r="A54" s="12" t="s">
        <v>152</v>
      </c>
      <c r="B54" s="12" t="s">
        <v>144</v>
      </c>
      <c r="C54" s="12" t="s">
        <v>153</v>
      </c>
    </row>
    <row r="55" customFormat="false" ht="15.75" hidden="false" customHeight="true" outlineLevel="0" collapsed="false">
      <c r="A55" s="12" t="s">
        <v>154</v>
      </c>
      <c r="B55" s="12" t="s">
        <v>144</v>
      </c>
      <c r="C55" s="12" t="s">
        <v>155</v>
      </c>
    </row>
    <row r="56" customFormat="false" ht="15.75" hidden="false" customHeight="true" outlineLevel="0" collapsed="false">
      <c r="A56" s="12" t="s">
        <v>156</v>
      </c>
      <c r="B56" s="12" t="s">
        <v>144</v>
      </c>
      <c r="C56" s="12" t="s">
        <v>157</v>
      </c>
    </row>
    <row r="57" customFormat="false" ht="15.75" hidden="false" customHeight="true" outlineLevel="0" collapsed="false">
      <c r="A57" s="12" t="s">
        <v>158</v>
      </c>
      <c r="B57" s="12" t="s">
        <v>144</v>
      </c>
      <c r="C57" s="12" t="s">
        <v>159</v>
      </c>
    </row>
    <row r="58" customFormat="false" ht="15.75" hidden="false" customHeight="true" outlineLevel="0" collapsed="false">
      <c r="A58" s="12" t="s">
        <v>160</v>
      </c>
      <c r="B58" s="12" t="s">
        <v>144</v>
      </c>
      <c r="C58" s="12" t="s">
        <v>161</v>
      </c>
    </row>
    <row r="59" customFormat="false" ht="15.75" hidden="false" customHeight="true" outlineLevel="0" collapsed="false">
      <c r="A59" s="12" t="s">
        <v>162</v>
      </c>
      <c r="B59" s="12" t="s">
        <v>144</v>
      </c>
      <c r="C59" s="12" t="s">
        <v>163</v>
      </c>
    </row>
    <row r="60" customFormat="false" ht="15.75" hidden="false" customHeight="true" outlineLevel="0" collapsed="false">
      <c r="A60" s="12" t="s">
        <v>164</v>
      </c>
      <c r="B60" s="12" t="s">
        <v>144</v>
      </c>
      <c r="C60" s="12" t="s">
        <v>165</v>
      </c>
    </row>
    <row r="61" customFormat="false" ht="15.75" hidden="false" customHeight="true" outlineLevel="0" collapsed="false">
      <c r="A61" s="12" t="s">
        <v>166</v>
      </c>
      <c r="B61" s="12" t="s">
        <v>144</v>
      </c>
      <c r="C61" s="12" t="s">
        <v>167</v>
      </c>
    </row>
    <row r="62" customFormat="false" ht="15.75" hidden="false" customHeight="true" outlineLevel="0" collapsed="false">
      <c r="A62" s="12" t="s">
        <v>168</v>
      </c>
      <c r="B62" s="12" t="s">
        <v>144</v>
      </c>
      <c r="C62" s="12" t="s">
        <v>169</v>
      </c>
    </row>
    <row r="63" customFormat="false" ht="15.75" hidden="false" customHeight="true" outlineLevel="0" collapsed="false">
      <c r="A63" s="12" t="s">
        <v>170</v>
      </c>
      <c r="B63" s="12" t="s">
        <v>144</v>
      </c>
      <c r="C63" s="12" t="s">
        <v>171</v>
      </c>
    </row>
    <row r="64" customFormat="false" ht="15.75" hidden="false" customHeight="true" outlineLevel="0" collapsed="false">
      <c r="A64" s="13" t="s">
        <v>172</v>
      </c>
      <c r="B64" s="13" t="s">
        <v>173</v>
      </c>
      <c r="C64" s="13" t="s">
        <v>174</v>
      </c>
    </row>
    <row r="65" customFormat="false" ht="15.75" hidden="false" customHeight="true" outlineLevel="0" collapsed="false">
      <c r="A65" s="13" t="s">
        <v>175</v>
      </c>
      <c r="B65" s="13" t="s">
        <v>173</v>
      </c>
      <c r="C65" s="13" t="s">
        <v>176</v>
      </c>
    </row>
    <row r="66" customFormat="false" ht="15.75" hidden="false" customHeight="true" outlineLevel="0" collapsed="false">
      <c r="A66" s="13" t="s">
        <v>177</v>
      </c>
      <c r="B66" s="13" t="s">
        <v>173</v>
      </c>
      <c r="C66" s="13" t="s">
        <v>178</v>
      </c>
    </row>
    <row r="67" customFormat="false" ht="15.75" hidden="false" customHeight="true" outlineLevel="0" collapsed="false">
      <c r="A67" s="13" t="s">
        <v>179</v>
      </c>
      <c r="B67" s="13" t="s">
        <v>173</v>
      </c>
      <c r="C67" s="13" t="s">
        <v>180</v>
      </c>
    </row>
    <row r="68" customFormat="false" ht="15.75" hidden="false" customHeight="true" outlineLevel="0" collapsed="false">
      <c r="A68" s="13" t="s">
        <v>181</v>
      </c>
      <c r="B68" s="13" t="s">
        <v>173</v>
      </c>
      <c r="C68" s="13" t="s">
        <v>182</v>
      </c>
    </row>
    <row r="69" customFormat="false" ht="15.75" hidden="false" customHeight="true" outlineLevel="0" collapsed="false">
      <c r="A69" s="13" t="s">
        <v>183</v>
      </c>
      <c r="B69" s="13" t="s">
        <v>173</v>
      </c>
      <c r="C69" s="13" t="s">
        <v>184</v>
      </c>
    </row>
    <row r="70" customFormat="false" ht="15.75" hidden="false" customHeight="true" outlineLevel="0" collapsed="false">
      <c r="A70" s="13" t="s">
        <v>185</v>
      </c>
      <c r="B70" s="13" t="s">
        <v>173</v>
      </c>
      <c r="C70" s="13" t="s">
        <v>186</v>
      </c>
    </row>
    <row r="71" customFormat="false" ht="15.75" hidden="false" customHeight="true" outlineLevel="0" collapsed="false">
      <c r="A71" s="13" t="s">
        <v>187</v>
      </c>
      <c r="B71" s="13" t="s">
        <v>173</v>
      </c>
      <c r="C71" s="13" t="s">
        <v>188</v>
      </c>
    </row>
    <row r="72" customFormat="false" ht="15.75" hidden="false" customHeight="true" outlineLevel="0" collapsed="false">
      <c r="A72" s="13" t="s">
        <v>189</v>
      </c>
      <c r="B72" s="13" t="s">
        <v>173</v>
      </c>
      <c r="C72" s="13" t="s">
        <v>190</v>
      </c>
    </row>
    <row r="73" customFormat="false" ht="15.75" hidden="false" customHeight="true" outlineLevel="0" collapsed="false">
      <c r="A73" s="13" t="s">
        <v>191</v>
      </c>
      <c r="B73" s="13" t="s">
        <v>173</v>
      </c>
      <c r="C73" s="13" t="s">
        <v>192</v>
      </c>
    </row>
    <row r="74" customFormat="false" ht="15.75" hidden="false" customHeight="true" outlineLevel="0" collapsed="false">
      <c r="A74" s="13" t="s">
        <v>193</v>
      </c>
      <c r="B74" s="13" t="s">
        <v>173</v>
      </c>
      <c r="C74" s="13" t="s">
        <v>194</v>
      </c>
    </row>
    <row r="75" customFormat="false" ht="15.75" hidden="false" customHeight="true" outlineLevel="0" collapsed="false">
      <c r="A75" s="13" t="s">
        <v>195</v>
      </c>
      <c r="B75" s="13" t="s">
        <v>173</v>
      </c>
      <c r="C75" s="13" t="s">
        <v>196</v>
      </c>
    </row>
    <row r="76" customFormat="false" ht="15.75" hidden="false" customHeight="true" outlineLevel="0" collapsed="false">
      <c r="A76" s="13" t="s">
        <v>197</v>
      </c>
      <c r="B76" s="13" t="s">
        <v>173</v>
      </c>
      <c r="C76" s="13" t="s">
        <v>198</v>
      </c>
    </row>
    <row r="77" customFormat="false" ht="15.75" hidden="false" customHeight="true" outlineLevel="0" collapsed="false">
      <c r="A77" s="13" t="s">
        <v>199</v>
      </c>
      <c r="B77" s="13" t="s">
        <v>173</v>
      </c>
      <c r="C77" s="13" t="s">
        <v>200</v>
      </c>
    </row>
    <row r="78" customFormat="false" ht="15.75" hidden="false" customHeight="true" outlineLevel="0" collapsed="false">
      <c r="A78" s="13" t="s">
        <v>201</v>
      </c>
      <c r="B78" s="13" t="s">
        <v>173</v>
      </c>
      <c r="C78" s="13" t="s">
        <v>202</v>
      </c>
    </row>
    <row r="79" customFormat="false" ht="15.75" hidden="false" customHeight="true" outlineLevel="0" collapsed="false">
      <c r="A79" s="13" t="s">
        <v>203</v>
      </c>
      <c r="B79" s="13" t="s">
        <v>173</v>
      </c>
      <c r="C79" s="13" t="s">
        <v>204</v>
      </c>
    </row>
    <row r="80" customFormat="false" ht="15.75" hidden="false" customHeight="true" outlineLevel="0" collapsed="false">
      <c r="A80" s="13" t="s">
        <v>205</v>
      </c>
      <c r="B80" s="13" t="s">
        <v>173</v>
      </c>
      <c r="C80" s="13" t="s">
        <v>206</v>
      </c>
    </row>
    <row r="81" customFormat="false" ht="15.75" hidden="false" customHeight="true" outlineLevel="0" collapsed="false">
      <c r="A81" s="13" t="s">
        <v>207</v>
      </c>
      <c r="B81" s="13" t="s">
        <v>173</v>
      </c>
      <c r="C81" s="13" t="s">
        <v>208</v>
      </c>
    </row>
    <row r="82" customFormat="false" ht="15.75" hidden="false" customHeight="true" outlineLevel="0" collapsed="false">
      <c r="A82" s="13" t="s">
        <v>209</v>
      </c>
      <c r="B82" s="13" t="s">
        <v>173</v>
      </c>
      <c r="C82" s="13" t="s">
        <v>210</v>
      </c>
    </row>
    <row r="83" customFormat="false" ht="15.75" hidden="false" customHeight="true" outlineLevel="0" collapsed="false">
      <c r="A83" s="13" t="s">
        <v>211</v>
      </c>
      <c r="B83" s="13" t="s">
        <v>173</v>
      </c>
      <c r="C83" s="13" t="s">
        <v>212</v>
      </c>
    </row>
    <row r="84" customFormat="false" ht="15.75" hidden="false" customHeight="true" outlineLevel="0" collapsed="false">
      <c r="A84" s="13" t="s">
        <v>213</v>
      </c>
      <c r="B84" s="13" t="s">
        <v>173</v>
      </c>
      <c r="C84" s="13" t="s">
        <v>214</v>
      </c>
    </row>
    <row r="85" customFormat="false" ht="15.75" hidden="false" customHeight="true" outlineLevel="0" collapsed="false">
      <c r="A85" s="13" t="s">
        <v>215</v>
      </c>
      <c r="B85" s="13" t="s">
        <v>173</v>
      </c>
      <c r="C85" s="13" t="s">
        <v>216</v>
      </c>
    </row>
    <row r="86" customFormat="false" ht="15.75" hidden="false" customHeight="true" outlineLevel="0" collapsed="false">
      <c r="A86" s="13" t="s">
        <v>217</v>
      </c>
      <c r="B86" s="13" t="s">
        <v>173</v>
      </c>
      <c r="C86" s="13" t="s">
        <v>218</v>
      </c>
    </row>
    <row r="87" customFormat="false" ht="15.75" hidden="false" customHeight="true" outlineLevel="0" collapsed="false">
      <c r="A87" s="13" t="s">
        <v>219</v>
      </c>
      <c r="B87" s="13" t="s">
        <v>173</v>
      </c>
      <c r="C87" s="13" t="s">
        <v>220</v>
      </c>
    </row>
    <row r="88" customFormat="false" ht="15.75" hidden="false" customHeight="true" outlineLevel="0" collapsed="false">
      <c r="A88" s="13" t="s">
        <v>221</v>
      </c>
      <c r="B88" s="13" t="s">
        <v>173</v>
      </c>
      <c r="C88" s="13" t="s">
        <v>222</v>
      </c>
    </row>
    <row r="89" customFormat="false" ht="15.75" hidden="false" customHeight="true" outlineLevel="0" collapsed="false">
      <c r="A89" s="13" t="s">
        <v>223</v>
      </c>
      <c r="B89" s="13" t="s">
        <v>173</v>
      </c>
      <c r="C89" s="13" t="s">
        <v>224</v>
      </c>
    </row>
    <row r="90" customFormat="false" ht="15.75" hidden="false" customHeight="true" outlineLevel="0" collapsed="false">
      <c r="A90" s="13" t="s">
        <v>225</v>
      </c>
      <c r="B90" s="13" t="s">
        <v>173</v>
      </c>
      <c r="C90" s="13" t="s">
        <v>226</v>
      </c>
    </row>
    <row r="91" customFormat="false" ht="15.75" hidden="false" customHeight="true" outlineLevel="0" collapsed="false">
      <c r="A91" s="13" t="s">
        <v>227</v>
      </c>
      <c r="B91" s="13" t="s">
        <v>173</v>
      </c>
      <c r="C91" s="13" t="s">
        <v>228</v>
      </c>
    </row>
    <row r="92" customFormat="false" ht="15.75" hidden="false" customHeight="true" outlineLevel="0" collapsed="false">
      <c r="A92" s="13" t="s">
        <v>229</v>
      </c>
      <c r="B92" s="13" t="s">
        <v>173</v>
      </c>
      <c r="C92" s="13" t="s">
        <v>230</v>
      </c>
    </row>
    <row r="93" customFormat="false" ht="15.75" hidden="false" customHeight="true" outlineLevel="0" collapsed="false">
      <c r="A93" s="13" t="s">
        <v>231</v>
      </c>
      <c r="B93" s="13" t="s">
        <v>173</v>
      </c>
      <c r="C93" s="13" t="s">
        <v>232</v>
      </c>
    </row>
    <row r="94" customFormat="false" ht="15.75" hidden="false" customHeight="true" outlineLevel="0" collapsed="false">
      <c r="A94" s="13" t="s">
        <v>233</v>
      </c>
      <c r="B94" s="13" t="s">
        <v>173</v>
      </c>
      <c r="C94" s="13" t="s">
        <v>234</v>
      </c>
    </row>
    <row r="95" customFormat="false" ht="15.75" hidden="false" customHeight="true" outlineLevel="0" collapsed="false">
      <c r="A95" s="13" t="s">
        <v>235</v>
      </c>
      <c r="B95" s="13" t="s">
        <v>173</v>
      </c>
      <c r="C95" s="13" t="s">
        <v>236</v>
      </c>
    </row>
    <row r="96" customFormat="false" ht="15.75" hidden="false" customHeight="true" outlineLevel="0" collapsed="false">
      <c r="A96" s="13" t="s">
        <v>237</v>
      </c>
      <c r="B96" s="13" t="s">
        <v>173</v>
      </c>
      <c r="C96" s="13" t="s">
        <v>238</v>
      </c>
    </row>
    <row r="97" customFormat="false" ht="15.75" hidden="false" customHeight="true" outlineLevel="0" collapsed="false">
      <c r="A97" s="13" t="s">
        <v>239</v>
      </c>
      <c r="B97" s="13" t="s">
        <v>173</v>
      </c>
      <c r="C97" s="13" t="s">
        <v>240</v>
      </c>
    </row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B6" activeCellId="0" sqref="B6"/>
    </sheetView>
  </sheetViews>
  <sheetFormatPr defaultColWidth="14.433593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96"/>
    <col collapsed="false" customWidth="true" hidden="false" outlineLevel="0" max="4" min="4" style="0" width="14"/>
    <col collapsed="false" customWidth="true" hidden="false" outlineLevel="0" max="7" min="5" style="0" width="12"/>
    <col collapsed="false" customWidth="true" hidden="false" outlineLevel="0" max="8" min="8" style="0" width="16"/>
    <col collapsed="false" customWidth="true" hidden="false" outlineLevel="0" max="26" min="9" style="0" width="8.71"/>
  </cols>
  <sheetData>
    <row r="1" customFormat="false" ht="21.75" hidden="false" customHeight="true" outlineLevel="0" collapsed="false">
      <c r="A1" s="5" t="s">
        <v>241</v>
      </c>
      <c r="B1" s="5"/>
      <c r="C1" s="5"/>
      <c r="D1" s="5"/>
      <c r="E1" s="5"/>
      <c r="F1" s="5"/>
      <c r="G1" s="5"/>
      <c r="H1" s="5"/>
    </row>
    <row r="2" customFormat="false" ht="15.75" hidden="false" customHeight="true" outlineLevel="0" collapsed="false">
      <c r="A2" s="6" t="s">
        <v>242</v>
      </c>
      <c r="B2" s="6"/>
      <c r="C2" s="6"/>
      <c r="D2" s="6"/>
      <c r="E2" s="6"/>
      <c r="F2" s="6"/>
      <c r="G2" s="6"/>
      <c r="H2" s="6"/>
    </row>
    <row r="4" customFormat="false" ht="30" hidden="false" customHeight="true" outlineLevel="0" collapsed="false">
      <c r="A4" s="7" t="s">
        <v>243</v>
      </c>
      <c r="B4" s="7" t="s">
        <v>19</v>
      </c>
      <c r="C4" s="7" t="s">
        <v>244</v>
      </c>
      <c r="D4" s="7" t="s">
        <v>245</v>
      </c>
      <c r="E4" s="7" t="s">
        <v>246</v>
      </c>
      <c r="F4" s="7" t="s">
        <v>247</v>
      </c>
      <c r="G4" s="7" t="s">
        <v>248</v>
      </c>
      <c r="H4" s="7" t="s">
        <v>249</v>
      </c>
    </row>
    <row r="5" customFormat="false" ht="15" hidden="false" customHeight="false" outlineLevel="0" collapsed="false">
      <c r="A5" s="8" t="s">
        <v>250</v>
      </c>
      <c r="B5" s="8" t="s">
        <v>31</v>
      </c>
      <c r="C5" s="8" t="s">
        <v>251</v>
      </c>
      <c r="D5" s="8" t="n">
        <v>2</v>
      </c>
      <c r="E5" s="8" t="n">
        <v>4</v>
      </c>
      <c r="F5" s="8" t="n">
        <f aca="false">D5*E5</f>
        <v>8</v>
      </c>
      <c r="G5" s="8" t="str">
        <f aca="false">IF(F5="","",IF(F5&lt;=4,"Low",IF(F5&lt;=9,"Medium",IF(F5&lt;=14,"High","Critical"))))</f>
        <v>Medium</v>
      </c>
      <c r="H5" s="8" t="s">
        <v>29</v>
      </c>
    </row>
    <row r="6" customFormat="false" ht="15" hidden="false" customHeight="false" outlineLevel="0" collapsed="false">
      <c r="A6" s="9" t="s">
        <v>252</v>
      </c>
      <c r="B6" s="9" t="s">
        <v>25</v>
      </c>
      <c r="C6" s="9" t="s">
        <v>253</v>
      </c>
      <c r="D6" s="9" t="n">
        <v>2</v>
      </c>
      <c r="E6" s="9" t="n">
        <v>4</v>
      </c>
      <c r="F6" s="9" t="n">
        <f aca="false">IF(OR(D6="",E6=""),"",D6*E6)</f>
        <v>8</v>
      </c>
      <c r="G6" s="9" t="str">
        <f aca="false">IF(F6="","",IF(F6&lt;=4,"Low",IF(F6&lt;=9,"Medium",IF(F6&lt;=14,"High","Critical"))))</f>
        <v>Medium</v>
      </c>
      <c r="H6" s="9" t="s">
        <v>29</v>
      </c>
    </row>
    <row r="7" customFormat="false" ht="15" hidden="false" customHeight="false" outlineLevel="0" collapsed="false">
      <c r="A7" s="9" t="s">
        <v>254</v>
      </c>
      <c r="B7" s="9" t="s">
        <v>40</v>
      </c>
      <c r="C7" s="9" t="s">
        <v>255</v>
      </c>
      <c r="D7" s="9" t="n">
        <v>2</v>
      </c>
      <c r="E7" s="9" t="n">
        <v>1</v>
      </c>
      <c r="F7" s="9" t="n">
        <f aca="false">IF(OR(D7="",E7=""),"",D7*E7)</f>
        <v>2</v>
      </c>
      <c r="G7" s="9" t="str">
        <f aca="false">IF(F7="","",IF(F7&lt;=4,"Low",IF(F7&lt;=9,"Medium",IF(F7&lt;=14,"High","Critical"))))</f>
        <v>Low</v>
      </c>
      <c r="H7" s="9" t="s">
        <v>29</v>
      </c>
    </row>
    <row r="8" customFormat="false" ht="15" hidden="false" customHeight="false" outlineLevel="0" collapsed="false">
      <c r="A8" s="9"/>
      <c r="B8" s="9"/>
      <c r="C8" s="9"/>
      <c r="D8" s="9"/>
      <c r="E8" s="9"/>
      <c r="F8" s="9" t="str">
        <f aca="false">IF(OR(D8="",E8=""),"",D8*E8)</f>
        <v/>
      </c>
      <c r="G8" s="9" t="str">
        <f aca="false">IF(F8="","",IF(F8&lt;=4,"Low",IF(F8&lt;=9,"Medium",IF(F8&lt;=14,"High","Critical"))))</f>
        <v/>
      </c>
      <c r="H8" s="9"/>
    </row>
    <row r="9" customFormat="false" ht="15" hidden="false" customHeight="false" outlineLevel="0" collapsed="false">
      <c r="A9" s="9"/>
      <c r="B9" s="9"/>
      <c r="C9" s="9"/>
      <c r="D9" s="9"/>
      <c r="E9" s="9"/>
      <c r="F9" s="9" t="str">
        <f aca="false">IF(OR(D9="",E9=""),"",D9*E9)</f>
        <v/>
      </c>
      <c r="G9" s="9" t="str">
        <f aca="false">IF(F9="","",IF(F9&lt;=4,"Low",IF(F9&lt;=9,"Medium",IF(F9&lt;=14,"High","Critical"))))</f>
        <v/>
      </c>
      <c r="H9" s="9"/>
    </row>
    <row r="10" customFormat="false" ht="15" hidden="false" customHeight="false" outlineLevel="0" collapsed="false">
      <c r="A10" s="9"/>
      <c r="B10" s="9"/>
      <c r="C10" s="9"/>
      <c r="D10" s="9"/>
      <c r="E10" s="9"/>
      <c r="F10" s="9" t="str">
        <f aca="false">IF(OR(D10="",E10=""),"",D10*E10)</f>
        <v/>
      </c>
      <c r="G10" s="9" t="str">
        <f aca="false">IF(F10="","",IF(F10&lt;=4,"Low",IF(F10&lt;=9,"Medium",IF(F10&lt;=14,"High","Critical"))))</f>
        <v/>
      </c>
      <c r="H10" s="9"/>
    </row>
    <row r="11" customFormat="false" ht="15" hidden="false" customHeight="false" outlineLevel="0" collapsed="false">
      <c r="A11" s="9"/>
      <c r="B11" s="9"/>
      <c r="C11" s="9"/>
      <c r="D11" s="9"/>
      <c r="E11" s="9"/>
      <c r="F11" s="9" t="str">
        <f aca="false">IF(OR(D11="",E11=""),"",D11*E11)</f>
        <v/>
      </c>
      <c r="G11" s="9" t="str">
        <f aca="false">IF(F11="","",IF(F11&lt;=4,"Low",IF(F11&lt;=9,"Medium",IF(F11&lt;=14,"High","Critical"))))</f>
        <v/>
      </c>
      <c r="H11" s="9"/>
    </row>
    <row r="12" customFormat="false" ht="15" hidden="false" customHeight="false" outlineLevel="0" collapsed="false">
      <c r="A12" s="9"/>
      <c r="B12" s="9"/>
      <c r="C12" s="9"/>
      <c r="D12" s="9"/>
      <c r="E12" s="9"/>
      <c r="F12" s="9" t="str">
        <f aca="false">IF(OR(D12="",E12=""),"",D12*E12)</f>
        <v/>
      </c>
      <c r="G12" s="9" t="str">
        <f aca="false">IF(F12="","",IF(F12&lt;=4,"Low",IF(F12&lt;=9,"Medium",IF(F12&lt;=14,"High","Critical"))))</f>
        <v/>
      </c>
      <c r="H12" s="9"/>
    </row>
    <row r="13" customFormat="false" ht="15" hidden="false" customHeight="false" outlineLevel="0" collapsed="false">
      <c r="A13" s="9"/>
      <c r="B13" s="9"/>
      <c r="C13" s="9"/>
      <c r="D13" s="9"/>
      <c r="E13" s="9"/>
      <c r="F13" s="9" t="str">
        <f aca="false">IF(OR(D13="",E13=""),"",D13*E13)</f>
        <v/>
      </c>
      <c r="G13" s="9" t="str">
        <f aca="false">IF(F13="","",IF(F13&lt;=4,"Low",IF(F13&lt;=9,"Medium",IF(F13&lt;=14,"High","Critical"))))</f>
        <v/>
      </c>
      <c r="H13" s="9"/>
    </row>
    <row r="14" customFormat="false" ht="15" hidden="false" customHeight="false" outlineLevel="0" collapsed="false">
      <c r="A14" s="9"/>
      <c r="B14" s="9"/>
      <c r="C14" s="9"/>
      <c r="D14" s="9"/>
      <c r="E14" s="9"/>
      <c r="F14" s="9" t="str">
        <f aca="false">IF(OR(D14="",E14=""),"",D14*E14)</f>
        <v/>
      </c>
      <c r="G14" s="9" t="str">
        <f aca="false">IF(F14="","",IF(F14&lt;=4,"Low",IF(F14&lt;=9,"Medium",IF(F14&lt;=14,"High","Critical"))))</f>
        <v/>
      </c>
      <c r="H14" s="9"/>
    </row>
    <row r="15" customFormat="false" ht="15" hidden="false" customHeight="false" outlineLevel="0" collapsed="false">
      <c r="A15" s="9"/>
      <c r="B15" s="9"/>
      <c r="C15" s="9"/>
      <c r="D15" s="9"/>
      <c r="E15" s="9"/>
      <c r="F15" s="9" t="str">
        <f aca="false">IF(OR(D15="",E15=""),"",D15*E15)</f>
        <v/>
      </c>
      <c r="G15" s="9" t="str">
        <f aca="false">IF(F15="","",IF(F15&lt;=4,"Low",IF(F15&lt;=9,"Medium",IF(F15&lt;=14,"High","Critical"))))</f>
        <v/>
      </c>
      <c r="H15" s="9"/>
    </row>
    <row r="16" customFormat="false" ht="15" hidden="false" customHeight="false" outlineLevel="0" collapsed="false">
      <c r="A16" s="9"/>
      <c r="B16" s="9"/>
      <c r="C16" s="9"/>
      <c r="D16" s="9"/>
      <c r="E16" s="9"/>
      <c r="F16" s="9" t="str">
        <f aca="false">IF(OR(D16="",E16=""),"",D16*E16)</f>
        <v/>
      </c>
      <c r="G16" s="9" t="str">
        <f aca="false">IF(F16="","",IF(F16&lt;=4,"Low",IF(F16&lt;=9,"Medium",IF(F16&lt;=14,"High","Critical"))))</f>
        <v/>
      </c>
      <c r="H16" s="9"/>
    </row>
    <row r="17" customFormat="false" ht="15" hidden="false" customHeight="false" outlineLevel="0" collapsed="false">
      <c r="A17" s="9"/>
      <c r="B17" s="9"/>
      <c r="C17" s="9"/>
      <c r="D17" s="9"/>
      <c r="E17" s="9"/>
      <c r="F17" s="9" t="str">
        <f aca="false">IF(OR(D17="",E17=""),"",D17*E17)</f>
        <v/>
      </c>
      <c r="G17" s="9" t="str">
        <f aca="false">IF(F17="","",IF(F17&lt;=4,"Low",IF(F17&lt;=9,"Medium",IF(F17&lt;=14,"High","Critical"))))</f>
        <v/>
      </c>
      <c r="H17" s="9"/>
    </row>
    <row r="18" customFormat="false" ht="15" hidden="false" customHeight="false" outlineLevel="0" collapsed="false">
      <c r="A18" s="9"/>
      <c r="B18" s="9"/>
      <c r="C18" s="9"/>
      <c r="D18" s="9"/>
      <c r="E18" s="9"/>
      <c r="F18" s="9" t="str">
        <f aca="false">IF(OR(D18="",E18=""),"",D18*E18)</f>
        <v/>
      </c>
      <c r="G18" s="9" t="str">
        <f aca="false">IF(F18="","",IF(F18&lt;=4,"Low",IF(F18&lt;=9,"Medium",IF(F18&lt;=14,"High","Critical"))))</f>
        <v/>
      </c>
      <c r="H18" s="9"/>
    </row>
    <row r="19" customFormat="false" ht="15" hidden="false" customHeight="false" outlineLevel="0" collapsed="false">
      <c r="A19" s="9"/>
      <c r="B19" s="9"/>
      <c r="C19" s="9"/>
      <c r="D19" s="9"/>
      <c r="E19" s="9"/>
      <c r="F19" s="9" t="str">
        <f aca="false">IF(OR(D19="",E19=""),"",D19*E19)</f>
        <v/>
      </c>
      <c r="G19" s="9" t="str">
        <f aca="false">IF(F19="","",IF(F19&lt;=4,"Low",IF(F19&lt;=9,"Medium",IF(F19&lt;=14,"High","Critical"))))</f>
        <v/>
      </c>
      <c r="H19" s="9"/>
    </row>
    <row r="20" customFormat="false" ht="15" hidden="false" customHeight="false" outlineLevel="0" collapsed="false">
      <c r="A20" s="9"/>
      <c r="B20" s="9"/>
      <c r="C20" s="9"/>
      <c r="D20" s="9"/>
      <c r="E20" s="9"/>
      <c r="F20" s="9" t="str">
        <f aca="false">IF(OR(D20="",E20=""),"",D20*E20)</f>
        <v/>
      </c>
      <c r="G20" s="9" t="str">
        <f aca="false">IF(F20="","",IF(F20&lt;=4,"Low",IF(F20&lt;=9,"Medium",IF(F20&lt;=14,"High","Critical"))))</f>
        <v/>
      </c>
      <c r="H20" s="9"/>
    </row>
    <row r="21" customFormat="false" ht="15.75" hidden="false" customHeight="true" outlineLevel="0" collapsed="false">
      <c r="A21" s="9"/>
      <c r="B21" s="9"/>
      <c r="C21" s="9"/>
      <c r="D21" s="9"/>
      <c r="E21" s="9"/>
      <c r="F21" s="9" t="str">
        <f aca="false">IF(OR(D21="",E21=""),"",D21*E21)</f>
        <v/>
      </c>
      <c r="G21" s="9" t="str">
        <f aca="false">IF(F21="","",IF(F21&lt;=4,"Low",IF(F21&lt;=9,"Medium",IF(F21&lt;=14,"High","Critical"))))</f>
        <v/>
      </c>
      <c r="H21" s="9"/>
    </row>
    <row r="22" customFormat="false" ht="15.75" hidden="false" customHeight="true" outlineLevel="0" collapsed="false">
      <c r="A22" s="9"/>
      <c r="B22" s="9"/>
      <c r="C22" s="9"/>
      <c r="D22" s="9"/>
      <c r="E22" s="9"/>
      <c r="F22" s="9" t="str">
        <f aca="false">IF(OR(D22="",E22=""),"",D22*E22)</f>
        <v/>
      </c>
      <c r="G22" s="9" t="str">
        <f aca="false">IF(F22="","",IF(F22&lt;=4,"Low",IF(F22&lt;=9,"Medium",IF(F22&lt;=14,"High","Critical"))))</f>
        <v/>
      </c>
      <c r="H22" s="9"/>
    </row>
    <row r="23" customFormat="false" ht="15.75" hidden="false" customHeight="true" outlineLevel="0" collapsed="false">
      <c r="A23" s="9"/>
      <c r="B23" s="9"/>
      <c r="C23" s="9"/>
      <c r="D23" s="9"/>
      <c r="E23" s="9"/>
      <c r="F23" s="9" t="str">
        <f aca="false">IF(OR(D23="",E23=""),"",D23*E23)</f>
        <v/>
      </c>
      <c r="G23" s="9" t="str">
        <f aca="false">IF(F23="","",IF(F23&lt;=4,"Low",IF(F23&lt;=9,"Medium",IF(F23&lt;=14,"High","Critical"))))</f>
        <v/>
      </c>
      <c r="H23" s="9"/>
    </row>
    <row r="24" customFormat="false" ht="15.75" hidden="false" customHeight="true" outlineLevel="0" collapsed="false">
      <c r="A24" s="9"/>
      <c r="B24" s="9"/>
      <c r="C24" s="9"/>
      <c r="D24" s="9"/>
      <c r="E24" s="9"/>
      <c r="F24" s="9" t="str">
        <f aca="false">IF(OR(D24="",E24=""),"",D24*E24)</f>
        <v/>
      </c>
      <c r="G24" s="9" t="str">
        <f aca="false">IF(F24="","",IF(F24&lt;=4,"Low",IF(F24&lt;=9,"Medium",IF(F24&lt;=14,"High","Critical"))))</f>
        <v/>
      </c>
      <c r="H24" s="9"/>
    </row>
    <row r="25" customFormat="false" ht="15.75" hidden="false" customHeight="true" outlineLevel="0" collapsed="false">
      <c r="A25" s="9"/>
      <c r="B25" s="9"/>
      <c r="C25" s="9"/>
      <c r="D25" s="9"/>
      <c r="E25" s="9"/>
      <c r="F25" s="9" t="str">
        <f aca="false">IF(OR(D25="",E25=""),"",D25*E25)</f>
        <v/>
      </c>
      <c r="G25" s="9" t="str">
        <f aca="false">IF(F25="","",IF(F25&lt;=4,"Low",IF(F25&lt;=9,"Medium",IF(F25&lt;=14,"High","Critical"))))</f>
        <v/>
      </c>
      <c r="H25" s="9"/>
    </row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2">
    <mergeCell ref="A1:H1"/>
    <mergeCell ref="A2:H2"/>
  </mergeCells>
  <dataValidations count="1">
    <dataValidation allowBlank="true" errorStyle="stop" operator="between" showDropDown="false" showErrorMessage="false" showInputMessage="false" sqref="D5:E25" type="decimal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B6" activeCellId="0" sqref="B6"/>
    </sheetView>
  </sheetViews>
  <sheetFormatPr defaultColWidth="14.433593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45"/>
    <col collapsed="false" customWidth="true" hidden="false" outlineLevel="0" max="4" min="4" style="0" width="14"/>
    <col collapsed="false" customWidth="true" hidden="false" outlineLevel="0" max="5" min="5" style="0" width="272.86"/>
    <col collapsed="false" customWidth="true" hidden="false" outlineLevel="0" max="6" min="6" style="0" width="19"/>
    <col collapsed="false" customWidth="true" hidden="false" outlineLevel="0" max="7" min="7" style="0" width="98.43"/>
    <col collapsed="false" customWidth="true" hidden="false" outlineLevel="0" max="26" min="8" style="0" width="8.71"/>
  </cols>
  <sheetData>
    <row r="1" customFormat="false" ht="21.75" hidden="false" customHeight="true" outlineLevel="0" collapsed="false">
      <c r="A1" s="5" t="s">
        <v>256</v>
      </c>
      <c r="B1" s="5"/>
      <c r="C1" s="5"/>
      <c r="D1" s="5"/>
      <c r="E1" s="5"/>
      <c r="F1" s="5"/>
      <c r="G1" s="5"/>
    </row>
    <row r="2" customFormat="false" ht="15.75" hidden="false" customHeight="true" outlineLevel="0" collapsed="false">
      <c r="A2" s="6" t="s">
        <v>257</v>
      </c>
      <c r="B2" s="6"/>
      <c r="C2" s="6"/>
      <c r="D2" s="6"/>
      <c r="E2" s="6"/>
      <c r="F2" s="6"/>
      <c r="G2" s="6"/>
    </row>
    <row r="4" customFormat="false" ht="30" hidden="false" customHeight="true" outlineLevel="0" collapsed="false">
      <c r="A4" s="7" t="s">
        <v>258</v>
      </c>
      <c r="B4" s="7" t="s">
        <v>259</v>
      </c>
      <c r="C4" s="7" t="s">
        <v>260</v>
      </c>
      <c r="D4" s="7" t="s">
        <v>261</v>
      </c>
      <c r="E4" s="7" t="s">
        <v>262</v>
      </c>
      <c r="F4" s="7" t="s">
        <v>263</v>
      </c>
      <c r="G4" s="7" t="s">
        <v>264</v>
      </c>
    </row>
    <row r="5" customFormat="false" ht="15" hidden="false" customHeight="false" outlineLevel="0" collapsed="false">
      <c r="A5" s="8" t="s">
        <v>265</v>
      </c>
      <c r="B5" s="8" t="s">
        <v>215</v>
      </c>
      <c r="C5" s="8" t="str">
        <f aca="false" t="array" ref="C5:C5">IFERROR(INDEX('Annex A Reference'!$C$5:$C$97,MATCH(B5,'Annex A Reference'!$A$5:$A$97,0)),"")</f>
        <v>Segregation of networks</v>
      </c>
      <c r="D5" s="8" t="s">
        <v>250</v>
      </c>
      <c r="E5" s="8" t="s">
        <v>266</v>
      </c>
      <c r="F5" s="14" t="s">
        <v>267</v>
      </c>
      <c r="G5" s="14" t="s">
        <v>268</v>
      </c>
    </row>
    <row r="6" customFormat="false" ht="15" hidden="false" customHeight="false" outlineLevel="0" collapsed="false">
      <c r="A6" s="9" t="s">
        <v>269</v>
      </c>
      <c r="B6" s="9" t="s">
        <v>168</v>
      </c>
      <c r="C6" s="9" t="str">
        <f aca="false" t="array" ref="C6:C6">IFERROR(INDEX('Annex A Reference'!$C$5:$C$97,MATCH(B6,'Annex A Reference'!$A$5:$A$97,0)),"")</f>
        <v>Equipment maintenance</v>
      </c>
      <c r="D6" s="9" t="s">
        <v>252</v>
      </c>
      <c r="E6" s="9" t="s">
        <v>270</v>
      </c>
      <c r="F6" s="9" t="s">
        <v>267</v>
      </c>
      <c r="G6" s="9" t="s">
        <v>271</v>
      </c>
    </row>
    <row r="7" customFormat="false" ht="15" hidden="false" customHeight="false" outlineLevel="0" collapsed="false">
      <c r="A7" s="9" t="s">
        <v>272</v>
      </c>
      <c r="B7" s="9" t="s">
        <v>217</v>
      </c>
      <c r="C7" s="9" t="str">
        <f aca="false" t="array" ref="C7:C7">IFERROR(INDEX('Annex A Reference'!$C$5:$C$97,MATCH(B7,'Annex A Reference'!$A$5:$A$97,0)),"")</f>
        <v>Web filtering</v>
      </c>
      <c r="D7" s="9" t="s">
        <v>254</v>
      </c>
      <c r="E7" s="9" t="s">
        <v>273</v>
      </c>
      <c r="F7" s="9" t="s">
        <v>267</v>
      </c>
      <c r="G7" s="9" t="s">
        <v>274</v>
      </c>
    </row>
    <row r="8" customFormat="false" ht="15" hidden="false" customHeight="false" outlineLevel="0" collapsed="false">
      <c r="A8" s="9"/>
      <c r="B8" s="9"/>
      <c r="C8" s="9" t="str">
        <f aca="false" t="array" ref="C8:C8">IFERROR(INDEX('Annex A Reference'!$C$5:$C$97,MATCH(B8,'Annex A Reference'!$A$5:$A$97,0)),"")</f>
        <v/>
      </c>
      <c r="D8" s="9"/>
      <c r="E8" s="9"/>
      <c r="F8" s="9"/>
      <c r="G8" s="9"/>
    </row>
    <row r="9" customFormat="false" ht="15" hidden="false" customHeight="false" outlineLevel="0" collapsed="false">
      <c r="A9" s="9"/>
      <c r="B9" s="9"/>
      <c r="C9" s="9" t="str">
        <f aca="false" t="array" ref="C9:C9">IFERROR(INDEX('Annex A Reference'!$C$5:$C$97,MATCH(B9,'Annex A Reference'!$A$5:$A$97,0)),"")</f>
        <v/>
      </c>
      <c r="D9" s="9"/>
      <c r="E9" s="9"/>
      <c r="F9" s="9"/>
      <c r="G9" s="9"/>
    </row>
    <row r="10" customFormat="false" ht="15" hidden="false" customHeight="false" outlineLevel="0" collapsed="false">
      <c r="A10" s="9"/>
      <c r="B10" s="9"/>
      <c r="C10" s="9" t="str">
        <f aca="false" t="array" ref="C10:C10">IFERROR(INDEX('Annex A Reference'!$C$5:$C$97,MATCH(B10,'Annex A Reference'!$A$5:$A$97,0)),"")</f>
        <v/>
      </c>
      <c r="D10" s="9"/>
      <c r="E10" s="9"/>
      <c r="F10" s="9"/>
      <c r="G10" s="9"/>
    </row>
    <row r="11" customFormat="false" ht="15" hidden="false" customHeight="false" outlineLevel="0" collapsed="false">
      <c r="A11" s="9"/>
      <c r="B11" s="9"/>
      <c r="C11" s="9" t="str">
        <f aca="false" t="array" ref="C11:C11">IFERROR(INDEX('Annex A Reference'!$C$5:$C$97,MATCH(B11,'Annex A Reference'!$A$5:$A$97,0)),"")</f>
        <v/>
      </c>
      <c r="D11" s="9"/>
      <c r="E11" s="9"/>
      <c r="F11" s="9"/>
      <c r="G11" s="9"/>
    </row>
    <row r="12" customFormat="false" ht="15" hidden="false" customHeight="false" outlineLevel="0" collapsed="false">
      <c r="A12" s="9"/>
      <c r="B12" s="9"/>
      <c r="C12" s="9" t="str">
        <f aca="false" t="array" ref="C12:C12">IFERROR(INDEX('Annex A Reference'!$C$5:$C$97,MATCH(B12,'Annex A Reference'!$A$5:$A$97,0)),"")</f>
        <v/>
      </c>
      <c r="D12" s="9"/>
      <c r="E12" s="9"/>
      <c r="F12" s="9"/>
      <c r="G12" s="9"/>
    </row>
    <row r="13" customFormat="false" ht="15" hidden="false" customHeight="false" outlineLevel="0" collapsed="false">
      <c r="A13" s="9"/>
      <c r="B13" s="9"/>
      <c r="C13" s="9" t="str">
        <f aca="false" t="array" ref="C13:C13">IFERROR(INDEX('Annex A Reference'!$C$5:$C$97,MATCH(B13,'Annex A Reference'!$A$5:$A$97,0)),"")</f>
        <v/>
      </c>
      <c r="D13" s="9"/>
      <c r="E13" s="9"/>
      <c r="F13" s="9"/>
      <c r="G13" s="9"/>
    </row>
    <row r="14" customFormat="false" ht="15" hidden="false" customHeight="false" outlineLevel="0" collapsed="false">
      <c r="A14" s="9"/>
      <c r="B14" s="9"/>
      <c r="C14" s="9" t="str">
        <f aca="false" t="array" ref="C14:C14">IFERROR(INDEX('Annex A Reference'!$C$5:$C$97,MATCH(B14,'Annex A Reference'!$A$5:$A$97,0)),"")</f>
        <v/>
      </c>
      <c r="D14" s="9"/>
      <c r="E14" s="9"/>
      <c r="F14" s="9"/>
      <c r="G14" s="9"/>
    </row>
    <row r="15" customFormat="false" ht="15" hidden="false" customHeight="false" outlineLevel="0" collapsed="false">
      <c r="A15" s="9"/>
      <c r="B15" s="9"/>
      <c r="C15" s="9" t="str">
        <f aca="false" t="array" ref="C15:C15">IFERROR(INDEX('Annex A Reference'!$C$5:$C$97,MATCH(B15,'Annex A Reference'!$A$5:$A$97,0)),"")</f>
        <v/>
      </c>
      <c r="D15" s="9"/>
      <c r="E15" s="9"/>
      <c r="F15" s="9"/>
      <c r="G15" s="9"/>
    </row>
    <row r="16" customFormat="false" ht="15" hidden="false" customHeight="false" outlineLevel="0" collapsed="false">
      <c r="A16" s="9"/>
      <c r="B16" s="9"/>
      <c r="C16" s="9" t="str">
        <f aca="false" t="array" ref="C16:C16">IFERROR(INDEX('Annex A Reference'!$C$5:$C$97,MATCH(B16,'Annex A Reference'!$A$5:$A$97,0)),"")</f>
        <v/>
      </c>
      <c r="D16" s="9"/>
      <c r="E16" s="9"/>
      <c r="F16" s="9"/>
      <c r="G16" s="9"/>
    </row>
    <row r="17" customFormat="false" ht="15" hidden="false" customHeight="false" outlineLevel="0" collapsed="false">
      <c r="A17" s="9"/>
      <c r="B17" s="9"/>
      <c r="C17" s="9" t="str">
        <f aca="false" t="array" ref="C17:C17">IFERROR(INDEX('Annex A Reference'!$C$5:$C$97,MATCH(B17,'Annex A Reference'!$A$5:$A$97,0)),"")</f>
        <v/>
      </c>
      <c r="D17" s="9"/>
      <c r="E17" s="9"/>
      <c r="F17" s="9"/>
      <c r="G17" s="9"/>
    </row>
    <row r="18" customFormat="false" ht="15" hidden="false" customHeight="false" outlineLevel="0" collapsed="false">
      <c r="A18" s="9"/>
      <c r="B18" s="9"/>
      <c r="C18" s="9" t="str">
        <f aca="false" t="array" ref="C18:C18">IFERROR(INDEX('Annex A Reference'!$C$5:$C$97,MATCH(B18,'Annex A Reference'!$A$5:$A$97,0)),"")</f>
        <v/>
      </c>
      <c r="D18" s="9"/>
      <c r="E18" s="9"/>
      <c r="F18" s="9"/>
      <c r="G18" s="9"/>
    </row>
    <row r="19" customFormat="false" ht="15" hidden="false" customHeight="false" outlineLevel="0" collapsed="false">
      <c r="A19" s="9"/>
      <c r="B19" s="9"/>
      <c r="C19" s="9" t="str">
        <f aca="false" t="array" ref="C19:C19">IFERROR(INDEX('Annex A Reference'!$C$5:$C$97,MATCH(B19,'Annex A Reference'!$A$5:$A$97,0)),"")</f>
        <v/>
      </c>
      <c r="D19" s="9"/>
      <c r="E19" s="9"/>
      <c r="F19" s="9"/>
      <c r="G19" s="9"/>
    </row>
    <row r="20" customFormat="false" ht="15" hidden="false" customHeight="false" outlineLevel="0" collapsed="false">
      <c r="A20" s="9"/>
      <c r="B20" s="9"/>
      <c r="C20" s="9" t="str">
        <f aca="false" t="array" ref="C20:C20">IFERROR(INDEX('Annex A Reference'!$C$5:$C$97,MATCH(B20,'Annex A Reference'!$A$5:$A$97,0)),"")</f>
        <v/>
      </c>
      <c r="D20" s="9"/>
      <c r="E20" s="9"/>
      <c r="F20" s="9"/>
      <c r="G20" s="9"/>
    </row>
    <row r="21" customFormat="false" ht="15.75" hidden="false" customHeight="true" outlineLevel="0" collapsed="false">
      <c r="A21" s="9"/>
      <c r="B21" s="9"/>
      <c r="C21" s="9" t="str">
        <f aca="false" t="array" ref="C21:C21">IFERROR(INDEX('Annex A Reference'!$C$5:$C$97,MATCH(B21,'Annex A Reference'!$A$5:$A$97,0)),"")</f>
        <v/>
      </c>
      <c r="D21" s="9"/>
      <c r="E21" s="9"/>
      <c r="F21" s="9"/>
      <c r="G21" s="9"/>
    </row>
    <row r="22" customFormat="false" ht="15.75" hidden="false" customHeight="true" outlineLevel="0" collapsed="false">
      <c r="A22" s="9"/>
      <c r="B22" s="9"/>
      <c r="C22" s="9" t="str">
        <f aca="false" t="array" ref="C22:C22">IFERROR(INDEX('Annex A Reference'!$C$5:$C$97,MATCH(B22,'Annex A Reference'!$A$5:$A$97,0)),"")</f>
        <v/>
      </c>
      <c r="D22" s="9"/>
      <c r="E22" s="9"/>
      <c r="F22" s="9"/>
      <c r="G22" s="9"/>
    </row>
    <row r="23" customFormat="false" ht="15.75" hidden="false" customHeight="true" outlineLevel="0" collapsed="false">
      <c r="A23" s="9"/>
      <c r="B23" s="9"/>
      <c r="C23" s="9" t="str">
        <f aca="false" t="array" ref="C23:C23">IFERROR(INDEX('Annex A Reference'!$C$5:$C$97,MATCH(B23,'Annex A Reference'!$A$5:$A$97,0)),"")</f>
        <v/>
      </c>
      <c r="D23" s="9"/>
      <c r="E23" s="9"/>
      <c r="F23" s="9"/>
      <c r="G23" s="9"/>
    </row>
    <row r="24" customFormat="false" ht="15.75" hidden="false" customHeight="true" outlineLevel="0" collapsed="false">
      <c r="A24" s="9"/>
      <c r="B24" s="9"/>
      <c r="C24" s="9" t="str">
        <f aca="false" t="array" ref="C24:C24">IFERROR(INDEX('Annex A Reference'!$C$5:$C$97,MATCH(B24,'Annex A Reference'!$A$5:$A$97,0)),"")</f>
        <v/>
      </c>
      <c r="D24" s="9"/>
      <c r="E24" s="9"/>
      <c r="F24" s="9"/>
      <c r="G24" s="9"/>
    </row>
    <row r="25" customFormat="false" ht="15.75" hidden="false" customHeight="true" outlineLevel="0" collapsed="false">
      <c r="A25" s="9"/>
      <c r="B25" s="9"/>
      <c r="C25" s="9" t="str">
        <f aca="false" t="array" ref="C25:C25">IFERROR(INDEX('Annex A Reference'!$C$5:$C$97,MATCH(B25,'Annex A Reference'!$A$5:$A$97,0)),"")</f>
        <v/>
      </c>
      <c r="D25" s="9"/>
      <c r="E25" s="9"/>
      <c r="F25" s="9"/>
      <c r="G25" s="9"/>
    </row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2">
    <mergeCell ref="A1:G1"/>
    <mergeCell ref="A2:G2"/>
  </mergeCells>
  <dataValidations count="2">
    <dataValidation allowBlank="true" errorStyle="stop" operator="between" showDropDown="false" showErrorMessage="false" showInputMessage="false" sqref="F5:F25" type="list">
      <formula1>"Planned,In Progress,Implemented,Not Applicable"</formula1>
      <formula2>0</formula2>
    </dataValidation>
    <dataValidation allowBlank="true" errorStyle="stop" operator="between" showDropDown="false" showErrorMessage="false" showInputMessage="false" sqref="B5:B25" type="list">
      <formula1>'Annex A Reference'!$A$5:$A$97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