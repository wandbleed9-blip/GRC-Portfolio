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Gap Analysis" sheetId="2" r:id="rId6"/>
    <sheet state="visible" name="Dashboard" sheetId="3" r:id="rId7"/>
  </sheets>
  <definedNames/>
  <calcPr/>
</workbook>
</file>

<file path=xl/sharedStrings.xml><?xml version="1.0" encoding="utf-8"?>
<sst xmlns="http://schemas.openxmlformats.org/spreadsheetml/2006/main" count="541" uniqueCount="272">
  <si>
    <t>ISO/IEC 27001:2022 Gap Analysis</t>
  </si>
  <si>
    <t>Annex A Gap Analysis</t>
  </si>
  <si>
    <t>Home-lab GRC portfolio artifact — full Annex A walkthrough</t>
  </si>
  <si>
    <t>All 93 controls</t>
  </si>
  <si>
    <t>How this workbook is structured</t>
  </si>
  <si>
    <t>--------------------------------</t>
  </si>
  <si>
    <t>Control ID</t>
  </si>
  <si>
    <t>Gap Analysis sheet: all 93 Annex A controls, one row each, grouped and colour-coded by theme.</t>
  </si>
  <si>
    <t>Gap Analysis Summary</t>
  </si>
  <si>
    <t>Dashboard sheet: a live summary count by Current State and by Theme, calculated from the entries.</t>
  </si>
  <si>
    <t>Current State definitions</t>
  </si>
  <si>
    <t>Live counts — updates automatically as you fill in the Gap Analysis sheet.</t>
  </si>
  <si>
    <t>--------------------------</t>
  </si>
  <si>
    <t>Theme</t>
  </si>
  <si>
    <t>By Current State</t>
  </si>
  <si>
    <t>Implemented - control is fully in place and evidence provided</t>
  </si>
  <si>
    <t>Control Name</t>
  </si>
  <si>
    <t>Current State</t>
  </si>
  <si>
    <t>Partial - some element of the control exists but it's incomplete.</t>
  </si>
  <si>
    <t>Evidence / Notes</t>
  </si>
  <si>
    <t>Gap Description</t>
  </si>
  <si>
    <t>Not Implemented - control does not exist yet</t>
  </si>
  <si>
    <t>By Theme</t>
  </si>
  <si>
    <t>Priority</t>
  </si>
  <si>
    <t>Remediation Plan</t>
  </si>
  <si>
    <t>Not Applicable - control doesn't apply to this environment e.g. supplier</t>
  </si>
  <si>
    <t>Linked Risk ID</t>
  </si>
  <si>
    <t>Status</t>
  </si>
  <si>
    <t>A.5.1</t>
  </si>
  <si>
    <t>Count</t>
  </si>
  <si>
    <t>Organisational</t>
  </si>
  <si>
    <t>Total</t>
  </si>
  <si>
    <t>Policies for information security</t>
  </si>
  <si>
    <t>Implemented</t>
  </si>
  <si>
    <t>Not Implemented</t>
  </si>
  <si>
    <t>No policy has been written</t>
  </si>
  <si>
    <t>Medium</t>
  </si>
  <si>
    <t>Draft a policy</t>
  </si>
  <si>
    <t>A.5.2</t>
  </si>
  <si>
    <t>Information security roles and responsibilities</t>
  </si>
  <si>
    <t>Not Applicable</t>
  </si>
  <si>
    <t>N/A</t>
  </si>
  <si>
    <t>A.5.3</t>
  </si>
  <si>
    <t>Segregation of duties</t>
  </si>
  <si>
    <t>A.5.4</t>
  </si>
  <si>
    <t>Management responsibilities</t>
  </si>
  <si>
    <t>A.5.5</t>
  </si>
  <si>
    <t>Contact with authorities</t>
  </si>
  <si>
    <t>A.5.6</t>
  </si>
  <si>
    <t>Contact with special interest groups</t>
  </si>
  <si>
    <t>A.5.7</t>
  </si>
  <si>
    <t>Threat intelligence</t>
  </si>
  <si>
    <t>Partial</t>
  </si>
  <si>
    <t>Adguards dashboard offers some intelligence</t>
  </si>
  <si>
    <t>Research and implement further threat intelligence capabilities possible for the homelab</t>
  </si>
  <si>
    <t>A.5.8</t>
  </si>
  <si>
    <t>Information security in project management</t>
  </si>
  <si>
    <t>A.5.9</t>
  </si>
  <si>
    <t>Inventory of information and other associated assets</t>
  </si>
  <si>
    <t>Basic inventory currently performed</t>
  </si>
  <si>
    <t>Continue updating inventory</t>
  </si>
  <si>
    <t>A.5.10</t>
  </si>
  <si>
    <t>Acceptable use of information and other associated assets</t>
  </si>
  <si>
    <t>Single user environment, acceptable use is implied</t>
  </si>
  <si>
    <t>A.5.11</t>
  </si>
  <si>
    <t>Return of assets</t>
  </si>
  <si>
    <t>A.5.12</t>
  </si>
  <si>
    <t>Classification of information</t>
  </si>
  <si>
    <t>A.5.13</t>
  </si>
  <si>
    <t>Labelling of information</t>
  </si>
  <si>
    <t>A.5.14</t>
  </si>
  <si>
    <t>Information transfer</t>
  </si>
  <si>
    <t>A.5.15</t>
  </si>
  <si>
    <t>Access control</t>
  </si>
  <si>
    <t>Single user environment, only one person holds the credentials for the lab environment. SQL sandbox is only accessed throgh the proxmox environment.</t>
  </si>
  <si>
    <t>No formal access policy exists.</t>
  </si>
  <si>
    <t>A.5.16</t>
  </si>
  <si>
    <t>Identity management</t>
  </si>
  <si>
    <t>A.5.17</t>
  </si>
  <si>
    <t>Authentication information</t>
  </si>
  <si>
    <t>A.5.18</t>
  </si>
  <si>
    <t>People</t>
  </si>
  <si>
    <t>Access rights</t>
  </si>
  <si>
    <t>A.5.19</t>
  </si>
  <si>
    <t>Information security in supplier relationships</t>
  </si>
  <si>
    <t>A.5.20</t>
  </si>
  <si>
    <t>Addressing information security within supplier agreements</t>
  </si>
  <si>
    <t>A.5.21</t>
  </si>
  <si>
    <t>Managing information security in the ICT supply chain</t>
  </si>
  <si>
    <t>A.5.22</t>
  </si>
  <si>
    <t>Monitoring, review and change management of supplier services</t>
  </si>
  <si>
    <t>A.5.23</t>
  </si>
  <si>
    <t>Information security for use of cloud services</t>
  </si>
  <si>
    <t>A.5.24</t>
  </si>
  <si>
    <t>Information security incident management planning and preparation</t>
  </si>
  <si>
    <t>No incident response plan exists for the lab environment (e.g. what to do if segmentation fails or a lab VM is compromised).</t>
  </si>
  <si>
    <t>Draft a short incident response outline: detection, containment, recovery, lessons-learned log.</t>
  </si>
  <si>
    <t>Physical</t>
  </si>
  <si>
    <t>A.5.25</t>
  </si>
  <si>
    <t>Assessment and decision on information security events</t>
  </si>
  <si>
    <t>A.5.26</t>
  </si>
  <si>
    <t>Response to information security incidents</t>
  </si>
  <si>
    <t>A.5.27</t>
  </si>
  <si>
    <t>Learning from information security incidents</t>
  </si>
  <si>
    <t>A.5.28</t>
  </si>
  <si>
    <t>Collection of evidence</t>
  </si>
  <si>
    <t>A.5.29</t>
  </si>
  <si>
    <t>Information security during disruption</t>
  </si>
  <si>
    <t>A.5.30</t>
  </si>
  <si>
    <t>ICT readiness for business continuity</t>
  </si>
  <si>
    <t>A.5.31</t>
  </si>
  <si>
    <t>Legal, statutory, regulatory and contractual requirements</t>
  </si>
  <si>
    <t>A.5.32</t>
  </si>
  <si>
    <t>Intellectual property rights</t>
  </si>
  <si>
    <t>A.5.33</t>
  </si>
  <si>
    <t>Protection of records</t>
  </si>
  <si>
    <t>Technological</t>
  </si>
  <si>
    <t>A.5.34</t>
  </si>
  <si>
    <t>Privacy and protection of PII</t>
  </si>
  <si>
    <t>A.5.35</t>
  </si>
  <si>
    <t>Independent review of information security</t>
  </si>
  <si>
    <t>A.5.36</t>
  </si>
  <si>
    <t>Compliance with policies, rules and standards for information security</t>
  </si>
  <si>
    <t>A.5.37</t>
  </si>
  <si>
    <t>Documented operating procedures</t>
  </si>
  <si>
    <t>No documented operating procedures exist yet for lab administration tasks (e.g. VM provisioning, network changes).</t>
  </si>
  <si>
    <t>Write short SOPs for recurring lab admin tasks, starting with network changes given the risk demonstrated in RSK-001.</t>
  </si>
  <si>
    <t>RSK-001</t>
  </si>
  <si>
    <t>A.6.1</t>
  </si>
  <si>
    <t>(Not yet assessed)</t>
  </si>
  <si>
    <t>Screening</t>
  </si>
  <si>
    <t>A.6.2</t>
  </si>
  <si>
    <t>Terms and conditions of employment</t>
  </si>
  <si>
    <t>Total controls</t>
  </si>
  <si>
    <t>A.6.3</t>
  </si>
  <si>
    <t>Information security awareness, education and training</t>
  </si>
  <si>
    <t>A.6.4</t>
  </si>
  <si>
    <t>Disciplinary process</t>
  </si>
  <si>
    <t>A.6.5</t>
  </si>
  <si>
    <t>Responsibilities after termination or change of employment</t>
  </si>
  <si>
    <t>A.6.6</t>
  </si>
  <si>
    <t>Confidentiality or non-disclosure agreements</t>
  </si>
  <si>
    <t>A.6.7</t>
  </si>
  <si>
    <t>Remote working</t>
  </si>
  <si>
    <t>A.6.8</t>
  </si>
  <si>
    <t>Information security event reporting</t>
  </si>
  <si>
    <t>A.7.1</t>
  </si>
  <si>
    <t>Physical security perimeters</t>
  </si>
  <si>
    <t xml:space="preserve">Equipment is stored in a locked building when unoccupied </t>
  </si>
  <si>
    <t>A.7.2</t>
  </si>
  <si>
    <t>Physical entry</t>
  </si>
  <si>
    <t>A.7.3</t>
  </si>
  <si>
    <t>Securing offices, rooms and facilities</t>
  </si>
  <si>
    <t>A.7.4</t>
  </si>
  <si>
    <t>Physical security monitoring</t>
  </si>
  <si>
    <t>A.7.5</t>
  </si>
  <si>
    <t>Protecting against physical and environmental threats</t>
  </si>
  <si>
    <t>A.7.6</t>
  </si>
  <si>
    <t>Working in secure areas</t>
  </si>
  <si>
    <t>A.7.7</t>
  </si>
  <si>
    <t>Clear desk and clear screen</t>
  </si>
  <si>
    <t>A.7.8</t>
  </si>
  <si>
    <t>Equipment siting and protection</t>
  </si>
  <si>
    <t>A.7.9</t>
  </si>
  <si>
    <t>Security of assets off-premises</t>
  </si>
  <si>
    <t>A.7.10</t>
  </si>
  <si>
    <t>Storage media</t>
  </si>
  <si>
    <t>A.7.11</t>
  </si>
  <si>
    <t>Supporting utilities</t>
  </si>
  <si>
    <t>A.7.12</t>
  </si>
  <si>
    <t>Cabling security</t>
  </si>
  <si>
    <t>A.7.13</t>
  </si>
  <si>
    <t>Equipment maintenance</t>
  </si>
  <si>
    <t>No preventative maintainance schedule but maintainance will be carried out</t>
  </si>
  <si>
    <t>no documented procedures</t>
  </si>
  <si>
    <t>Low</t>
  </si>
  <si>
    <t>Write SOP and schedule for when tasks are to be carried out</t>
  </si>
  <si>
    <t>A.7.14</t>
  </si>
  <si>
    <t>Secure disposal or re-use of equipment</t>
  </si>
  <si>
    <t>A.8.1</t>
  </si>
  <si>
    <t>User endpoint devices</t>
  </si>
  <si>
    <t>A.8.2</t>
  </si>
  <si>
    <t>Privileged access rights</t>
  </si>
  <si>
    <t>A.8.3</t>
  </si>
  <si>
    <t>Information access restriction</t>
  </si>
  <si>
    <t>Console only access to the SQL environment, vmbr1 has no network access</t>
  </si>
  <si>
    <t>A.8.4</t>
  </si>
  <si>
    <t>Access to source code</t>
  </si>
  <si>
    <t>A.8.5</t>
  </si>
  <si>
    <t>Secure authentication</t>
  </si>
  <si>
    <t>A.8.6</t>
  </si>
  <si>
    <t>Capacity management</t>
  </si>
  <si>
    <t>Capacity can be monitored via the proxmox dashboard</t>
  </si>
  <si>
    <t>No thresholds or alerts implemented</t>
  </si>
  <si>
    <t>Implement automated monitoring and set up alerts for assessts nearing capacity.</t>
  </si>
  <si>
    <t>A.8.7</t>
  </si>
  <si>
    <t>Protection against malware</t>
  </si>
  <si>
    <t>All systems have anti-malware software running, updates are pushed automatically</t>
  </si>
  <si>
    <t>A.8.8</t>
  </si>
  <si>
    <t>Management of technical vulnerabilities</t>
  </si>
  <si>
    <t>A.8.9</t>
  </si>
  <si>
    <t>Configuration management</t>
  </si>
  <si>
    <t>No configuration backup/version control currently kept for router or Proxmox host configuration.</t>
  </si>
  <si>
    <t>Export and version-control router config backups; document Proxmox host configuration.</t>
  </si>
  <si>
    <t>A.8.10</t>
  </si>
  <si>
    <t>Information deletion</t>
  </si>
  <si>
    <t>A.8.11</t>
  </si>
  <si>
    <t>Data masking</t>
  </si>
  <si>
    <t>A.8.12</t>
  </si>
  <si>
    <t>Data leakage prevention</t>
  </si>
  <si>
    <t>A.8.13</t>
  </si>
  <si>
    <t>Information backup</t>
  </si>
  <si>
    <t>No backup strategy currently configured for lab VMs (Eramba, SQL sandbox) or their data.</t>
  </si>
  <si>
    <t>High</t>
  </si>
  <si>
    <t>Configure Proxmox scheduled backups (vzdump) for lab VMs with a defined retention period; document restore testing.</t>
  </si>
  <si>
    <t>A.8.14</t>
  </si>
  <si>
    <t>Redundancy of information processing facilities</t>
  </si>
  <si>
    <t>A.8.15</t>
  </si>
  <si>
    <t>Logging</t>
  </si>
  <si>
    <t>logging not currently implemented</t>
  </si>
  <si>
    <t>Re-establish remote syslog (or a lighter alternative) from the router to a lab log host once network changes stabilise.</t>
  </si>
  <si>
    <t>A.8.16</t>
  </si>
  <si>
    <t>Monitoring activities</t>
  </si>
  <si>
    <t>Some manual monitoring of dashboards is performed</t>
  </si>
  <si>
    <t>Monitoring is done on an ad-hoc basis</t>
  </si>
  <si>
    <t>Implement an automated monitoring solution</t>
  </si>
  <si>
    <t>A.8.17</t>
  </si>
  <si>
    <t>Clock synchronization</t>
  </si>
  <si>
    <t>A.8.18</t>
  </si>
  <si>
    <t>Use of privileged utility programs</t>
  </si>
  <si>
    <t>A.8.19</t>
  </si>
  <si>
    <t>Installation of software on operational systems</t>
  </si>
  <si>
    <t>A.8.20</t>
  </si>
  <si>
    <t>Networks security</t>
  </si>
  <si>
    <t>AdGuard Home used for DNS-based filtering/monitoring on the main LAN; router DHCP correctly points clients at it.</t>
  </si>
  <si>
    <t>No equivalent DNS filtering currently applied to the isolated lab network's egress traffic.</t>
  </si>
  <si>
    <t>Point lab VM DNS at AdGuard or a second filtering resolver reachable via the NAT path.</t>
  </si>
  <si>
    <t>A.8.21</t>
  </si>
  <si>
    <t>Security of network services</t>
  </si>
  <si>
    <t>Firewall configured with Adguard performing certain functions, router and endpoint based</t>
  </si>
  <si>
    <t>A.8.22</t>
  </si>
  <si>
    <t>Segregation of networks</t>
  </si>
  <si>
    <t>The SQL sandbox on the isolated lab network (vmbr1) has no active network-based access. It is reached solely through the proxmox host console.</t>
  </si>
  <si>
    <t>None — control is in place and verified.</t>
  </si>
  <si>
    <t>A.8.23</t>
  </si>
  <si>
    <t>Web filtering</t>
  </si>
  <si>
    <t xml:space="preserve">Adguard performs web filtering, all devices on the network are directed through Adguard by the router </t>
  </si>
  <si>
    <t>A.8.24</t>
  </si>
  <si>
    <t>Use of cryptography</t>
  </si>
  <si>
    <t>A.8.25</t>
  </si>
  <si>
    <t>Secure development life cycle</t>
  </si>
  <si>
    <t>A.8.26</t>
  </si>
  <si>
    <t>Application security requirements</t>
  </si>
  <si>
    <t>A.8.27</t>
  </si>
  <si>
    <t>Secure system architecture and engineering principles</t>
  </si>
  <si>
    <t>A.8.28</t>
  </si>
  <si>
    <t>Secure coding</t>
  </si>
  <si>
    <t>A.8.29</t>
  </si>
  <si>
    <t>Security testing in development and acceptance</t>
  </si>
  <si>
    <t>A.8.30</t>
  </si>
  <si>
    <t>Outsourced development</t>
  </si>
  <si>
    <t>A.8.31</t>
  </si>
  <si>
    <t>Separation of development, test and production environments</t>
  </si>
  <si>
    <t>Environments will be segmented via proxmox</t>
  </si>
  <si>
    <t>no documented procedure</t>
  </si>
  <si>
    <t>Document procedure for setting up isolated and segmented environments.</t>
  </si>
  <si>
    <t>A.8.32</t>
  </si>
  <si>
    <t>Change management</t>
  </si>
  <si>
    <t>A.8.33</t>
  </si>
  <si>
    <t>Test information</t>
  </si>
  <si>
    <t>A.8.34</t>
  </si>
  <si>
    <t>Protection of information systems during audit 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</si>
</sst>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6.0"/>
      <color rgb="FF1F4E78"/>
      <name val="Arial"/>
    </font>
    <font>
      <b/>
      <sz val="14.0"/>
      <color rgb="FF1F4E78"/>
      <name val="Arial"/>
    </font>
    <font>
      <i/>
      <sz val="9.0"/>
      <color rgb="FF595959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b/>
      <sz val="12.0"/>
      <color rgb="FF1F4E78"/>
      <name val="Arial"/>
    </font>
    <font>
      <sz val="11.0"/>
      <color theme="1"/>
      <name val="Calibri"/>
    </font>
    <font>
      <sz val="11.0"/>
      <color rgb="FF000000"/>
      <name val="Calibri"/>
    </font>
    <font>
      <i/>
      <sz val="10.0"/>
      <color rgb="FF1F4E78"/>
      <name val="Arial"/>
    </font>
    <font>
      <sz val="11.0"/>
      <color rgb="FF1F4E78"/>
      <name val="Calibri"/>
    </font>
    <font>
      <b/>
      <sz val="11.0"/>
      <color theme="1"/>
      <name val="Arial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1" fillId="2" fontId="6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shrinkToFit="0" vertical="top" wrapText="1"/>
    </xf>
    <xf borderId="1" fillId="0" fontId="9" numFmtId="0" xfId="0" applyAlignment="1" applyBorder="1" applyFont="1">
      <alignment shrinkToFit="0" vertical="top" wrapText="1"/>
    </xf>
    <xf borderId="1" fillId="0" fontId="10" numFmtId="0" xfId="0" applyAlignment="1" applyBorder="1" applyFont="1">
      <alignment shrinkToFit="0" vertical="top" wrapText="1"/>
    </xf>
    <xf borderId="1" fillId="0" fontId="11" numFmtId="0" xfId="0" applyAlignment="1" applyBorder="1" applyFont="1">
      <alignment shrinkToFit="0" vertical="top" wrapText="1"/>
    </xf>
    <xf borderId="1" fillId="4" fontId="4" numFmtId="0" xfId="0" applyAlignment="1" applyBorder="1" applyFill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1" fillId="5" fontId="4" numFmtId="0" xfId="0" applyAlignment="1" applyBorder="1" applyFill="1" applyFont="1">
      <alignment shrinkToFit="0" vertical="bottom" wrapText="0"/>
    </xf>
    <xf borderId="1" fillId="6" fontId="4" numFmtId="0" xfId="0" applyAlignment="1" applyBorder="1" applyFill="1" applyFont="1">
      <alignment shrinkToFit="0" vertical="bottom" wrapText="0"/>
    </xf>
    <xf borderId="1" fillId="0" fontId="13" numFmtId="0" xfId="0" applyAlignment="1" applyBorder="1" applyFont="1">
      <alignment shrinkToFit="0" vertical="top" wrapText="1"/>
    </xf>
    <xf borderId="1" fillId="0" fontId="10" numFmtId="0" xfId="0" applyAlignment="1" applyBorder="1" applyFont="1">
      <alignment readingOrder="0" shrinkToFit="0" vertical="top" wrapText="1"/>
    </xf>
    <xf borderId="1" fillId="0" fontId="9" numFmtId="0" xfId="0" applyAlignment="1" applyBorder="1" applyFont="1">
      <alignment readingOrder="0" shrinkToFit="0" vertical="top" wrapText="1"/>
    </xf>
    <xf borderId="1" fillId="0" fontId="1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4"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C6E0B4"/>
          <bgColor rgb="FFC6E0B4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5.0"/>
    <col customWidth="1" min="2" max="26" width="8.71"/>
  </cols>
  <sheetData>
    <row r="1">
      <c r="A1" s="1" t="s">
        <v>0</v>
      </c>
    </row>
    <row r="2">
      <c r="A2" s="3" t="s">
        <v>2</v>
      </c>
    </row>
    <row r="3">
      <c r="A3" s="4"/>
    </row>
    <row r="4">
      <c r="A4" s="4"/>
    </row>
    <row r="5">
      <c r="A5" s="6" t="s">
        <v>4</v>
      </c>
    </row>
    <row r="6">
      <c r="A6" s="4" t="s">
        <v>5</v>
      </c>
    </row>
    <row r="7">
      <c r="A7" s="7" t="s">
        <v>7</v>
      </c>
    </row>
    <row r="8" ht="15.75" customHeight="1">
      <c r="A8" s="7" t="s">
        <v>9</v>
      </c>
    </row>
    <row r="9" ht="15.75" customHeight="1">
      <c r="A9" s="4"/>
    </row>
    <row r="10" ht="15.75" customHeight="1">
      <c r="A10" s="6" t="s">
        <v>10</v>
      </c>
    </row>
    <row r="11" ht="15.75" customHeight="1">
      <c r="A11" s="4" t="s">
        <v>12</v>
      </c>
    </row>
    <row r="12" ht="15.75" customHeight="1">
      <c r="A12" s="7" t="s">
        <v>15</v>
      </c>
    </row>
    <row r="13" ht="15.75" customHeight="1">
      <c r="A13" s="7" t="s">
        <v>18</v>
      </c>
    </row>
    <row r="14" ht="15.75" customHeight="1">
      <c r="A14" s="7" t="s">
        <v>21</v>
      </c>
    </row>
    <row r="15" ht="15.75" customHeight="1">
      <c r="A15" s="7" t="s">
        <v>25</v>
      </c>
    </row>
    <row r="16" ht="15.75" customHeight="1">
      <c r="A16" s="4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15.0"/>
    <col customWidth="1" min="3" max="3" width="65.29"/>
    <col customWidth="1" min="4" max="4" width="17.57"/>
    <col customWidth="1" min="5" max="5" width="101.57"/>
    <col customWidth="1" min="6" max="6" width="34.0"/>
    <col customWidth="1" min="7" max="7" width="10.0"/>
    <col customWidth="1" min="8" max="8" width="42.0"/>
    <col customWidth="1" min="9" max="9" width="14.0"/>
    <col customWidth="1" min="10" max="26" width="8.71"/>
  </cols>
  <sheetData>
    <row r="1" ht="21.75" customHeight="1">
      <c r="A1" s="2" t="s">
        <v>1</v>
      </c>
    </row>
    <row r="2" ht="15.75" customHeight="1">
      <c r="A2" s="5" t="s">
        <v>3</v>
      </c>
    </row>
    <row r="4" ht="30.0" customHeight="1">
      <c r="A4" s="8" t="s">
        <v>6</v>
      </c>
      <c r="B4" s="8" t="s">
        <v>13</v>
      </c>
      <c r="C4" s="8" t="s">
        <v>16</v>
      </c>
      <c r="D4" s="8" t="s">
        <v>17</v>
      </c>
      <c r="E4" s="8" t="s">
        <v>19</v>
      </c>
      <c r="F4" s="8" t="s">
        <v>20</v>
      </c>
      <c r="G4" s="8" t="s">
        <v>23</v>
      </c>
      <c r="H4" s="8" t="s">
        <v>24</v>
      </c>
      <c r="I4" s="8" t="s">
        <v>26</v>
      </c>
    </row>
    <row r="5">
      <c r="A5" s="10" t="s">
        <v>28</v>
      </c>
      <c r="B5" s="10" t="s">
        <v>30</v>
      </c>
      <c r="C5" s="10" t="s">
        <v>32</v>
      </c>
      <c r="D5" s="12" t="s">
        <v>34</v>
      </c>
      <c r="E5" s="12" t="s">
        <v>35</v>
      </c>
      <c r="F5" s="13"/>
      <c r="G5" s="12" t="s">
        <v>36</v>
      </c>
      <c r="H5" s="12" t="s">
        <v>37</v>
      </c>
      <c r="I5" s="13"/>
    </row>
    <row r="6">
      <c r="A6" s="10" t="s">
        <v>38</v>
      </c>
      <c r="B6" s="10" t="s">
        <v>30</v>
      </c>
      <c r="C6" s="10" t="s">
        <v>39</v>
      </c>
      <c r="D6" s="12" t="s">
        <v>40</v>
      </c>
      <c r="E6" s="13"/>
      <c r="F6" s="13"/>
      <c r="G6" s="12" t="s">
        <v>41</v>
      </c>
      <c r="H6" s="13"/>
      <c r="I6" s="13"/>
    </row>
    <row r="7">
      <c r="A7" s="10" t="s">
        <v>42</v>
      </c>
      <c r="B7" s="10" t="s">
        <v>30</v>
      </c>
      <c r="C7" s="10" t="s">
        <v>43</v>
      </c>
      <c r="D7" s="12" t="s">
        <v>40</v>
      </c>
      <c r="E7" s="13"/>
      <c r="F7" s="13"/>
      <c r="G7" s="12" t="s">
        <v>41</v>
      </c>
      <c r="H7" s="13"/>
      <c r="I7" s="13"/>
    </row>
    <row r="8">
      <c r="A8" s="10" t="s">
        <v>44</v>
      </c>
      <c r="B8" s="10" t="s">
        <v>30</v>
      </c>
      <c r="C8" s="10" t="s">
        <v>45</v>
      </c>
      <c r="D8" s="12" t="s">
        <v>40</v>
      </c>
      <c r="E8" s="13"/>
      <c r="F8" s="13"/>
      <c r="G8" s="12" t="s">
        <v>41</v>
      </c>
      <c r="H8" s="13"/>
      <c r="I8" s="13"/>
    </row>
    <row r="9">
      <c r="A9" s="10" t="s">
        <v>46</v>
      </c>
      <c r="B9" s="10" t="s">
        <v>30</v>
      </c>
      <c r="C9" s="10" t="s">
        <v>47</v>
      </c>
      <c r="D9" s="12" t="s">
        <v>40</v>
      </c>
      <c r="E9" s="13"/>
      <c r="F9" s="13"/>
      <c r="G9" s="12" t="s">
        <v>41</v>
      </c>
      <c r="H9" s="13"/>
      <c r="I9" s="13"/>
    </row>
    <row r="10">
      <c r="A10" s="10" t="s">
        <v>48</v>
      </c>
      <c r="B10" s="10" t="s">
        <v>30</v>
      </c>
      <c r="C10" s="10" t="s">
        <v>49</v>
      </c>
      <c r="D10" s="12" t="s">
        <v>40</v>
      </c>
      <c r="E10" s="13"/>
      <c r="F10" s="13"/>
      <c r="G10" s="12" t="s">
        <v>41</v>
      </c>
      <c r="H10" s="13"/>
      <c r="I10" s="13"/>
    </row>
    <row r="11">
      <c r="A11" s="10" t="s">
        <v>50</v>
      </c>
      <c r="B11" s="10" t="s">
        <v>30</v>
      </c>
      <c r="C11" s="10" t="s">
        <v>51</v>
      </c>
      <c r="D11" s="12" t="s">
        <v>52</v>
      </c>
      <c r="E11" s="12" t="s">
        <v>53</v>
      </c>
      <c r="F11" s="13"/>
      <c r="G11" s="12" t="s">
        <v>36</v>
      </c>
      <c r="H11" s="12" t="s">
        <v>54</v>
      </c>
      <c r="I11" s="13"/>
    </row>
    <row r="12">
      <c r="A12" s="10" t="s">
        <v>55</v>
      </c>
      <c r="B12" s="10" t="s">
        <v>30</v>
      </c>
      <c r="C12" s="10" t="s">
        <v>56</v>
      </c>
      <c r="D12" s="12" t="s">
        <v>40</v>
      </c>
      <c r="E12" s="13"/>
      <c r="F12" s="13"/>
      <c r="G12" s="12" t="s">
        <v>41</v>
      </c>
      <c r="H12" s="13"/>
      <c r="I12" s="13"/>
    </row>
    <row r="13">
      <c r="A13" s="10" t="s">
        <v>57</v>
      </c>
      <c r="B13" s="10" t="s">
        <v>30</v>
      </c>
      <c r="C13" s="10" t="s">
        <v>58</v>
      </c>
      <c r="D13" s="12" t="s">
        <v>52</v>
      </c>
      <c r="E13" s="12" t="s">
        <v>59</v>
      </c>
      <c r="F13" s="13"/>
      <c r="G13" s="12" t="s">
        <v>36</v>
      </c>
      <c r="H13" s="12" t="s">
        <v>60</v>
      </c>
      <c r="I13" s="13"/>
    </row>
    <row r="14">
      <c r="A14" s="10" t="s">
        <v>61</v>
      </c>
      <c r="B14" s="10" t="s">
        <v>30</v>
      </c>
      <c r="C14" s="10" t="s">
        <v>62</v>
      </c>
      <c r="D14" s="12" t="s">
        <v>52</v>
      </c>
      <c r="E14" s="12" t="s">
        <v>63</v>
      </c>
      <c r="F14" s="13"/>
      <c r="G14" s="12" t="s">
        <v>41</v>
      </c>
      <c r="H14" s="13"/>
      <c r="I14" s="13"/>
    </row>
    <row r="15">
      <c r="A15" s="10" t="s">
        <v>64</v>
      </c>
      <c r="B15" s="10" t="s">
        <v>30</v>
      </c>
      <c r="C15" s="10" t="s">
        <v>65</v>
      </c>
      <c r="D15" s="12" t="s">
        <v>40</v>
      </c>
      <c r="E15" s="13"/>
      <c r="F15" s="13"/>
      <c r="G15" s="12" t="s">
        <v>41</v>
      </c>
      <c r="H15" s="13"/>
      <c r="I15" s="13"/>
    </row>
    <row r="16">
      <c r="A16" s="10" t="s">
        <v>66</v>
      </c>
      <c r="B16" s="10" t="s">
        <v>30</v>
      </c>
      <c r="C16" s="10" t="s">
        <v>67</v>
      </c>
      <c r="D16" s="12" t="s">
        <v>40</v>
      </c>
      <c r="E16" s="13"/>
      <c r="F16" s="13"/>
      <c r="G16" s="12" t="s">
        <v>41</v>
      </c>
      <c r="H16" s="13"/>
      <c r="I16" s="13"/>
    </row>
    <row r="17">
      <c r="A17" s="10" t="s">
        <v>68</v>
      </c>
      <c r="B17" s="10" t="s">
        <v>30</v>
      </c>
      <c r="C17" s="10" t="s">
        <v>69</v>
      </c>
      <c r="D17" s="12" t="s">
        <v>40</v>
      </c>
      <c r="E17" s="13"/>
      <c r="F17" s="13"/>
      <c r="G17" s="12" t="s">
        <v>41</v>
      </c>
      <c r="H17" s="13"/>
      <c r="I17" s="13"/>
    </row>
    <row r="18">
      <c r="A18" s="10" t="s">
        <v>70</v>
      </c>
      <c r="B18" s="10" t="s">
        <v>30</v>
      </c>
      <c r="C18" s="10" t="s">
        <v>71</v>
      </c>
      <c r="D18" s="12" t="s">
        <v>40</v>
      </c>
      <c r="E18" s="13"/>
      <c r="F18" s="13"/>
      <c r="G18" s="12" t="s">
        <v>41</v>
      </c>
      <c r="H18" s="13"/>
      <c r="I18" s="13"/>
    </row>
    <row r="19">
      <c r="A19" s="10" t="s">
        <v>72</v>
      </c>
      <c r="B19" s="10" t="s">
        <v>30</v>
      </c>
      <c r="C19" s="10" t="s">
        <v>73</v>
      </c>
      <c r="D19" s="12" t="s">
        <v>52</v>
      </c>
      <c r="E19" s="12" t="s">
        <v>74</v>
      </c>
      <c r="F19" s="12" t="s">
        <v>75</v>
      </c>
      <c r="G19" s="12" t="s">
        <v>41</v>
      </c>
      <c r="H19" s="13"/>
      <c r="I19" s="13"/>
    </row>
    <row r="20">
      <c r="A20" s="10" t="s">
        <v>76</v>
      </c>
      <c r="B20" s="10" t="s">
        <v>30</v>
      </c>
      <c r="C20" s="10" t="s">
        <v>77</v>
      </c>
      <c r="D20" s="12" t="s">
        <v>40</v>
      </c>
      <c r="E20" s="13"/>
      <c r="F20" s="13"/>
      <c r="G20" s="12" t="s">
        <v>41</v>
      </c>
      <c r="H20" s="13"/>
      <c r="I20" s="13"/>
    </row>
    <row r="21" ht="15.75" customHeight="1">
      <c r="A21" s="10" t="s">
        <v>78</v>
      </c>
      <c r="B21" s="10" t="s">
        <v>30</v>
      </c>
      <c r="C21" s="10" t="s">
        <v>79</v>
      </c>
      <c r="D21" s="12" t="s">
        <v>40</v>
      </c>
      <c r="E21" s="13"/>
      <c r="F21" s="13"/>
      <c r="G21" s="12" t="s">
        <v>41</v>
      </c>
      <c r="H21" s="13"/>
      <c r="I21" s="13"/>
    </row>
    <row r="22" ht="15.75" customHeight="1">
      <c r="A22" s="10" t="s">
        <v>80</v>
      </c>
      <c r="B22" s="10" t="s">
        <v>30</v>
      </c>
      <c r="C22" s="10" t="s">
        <v>82</v>
      </c>
      <c r="D22" s="12" t="s">
        <v>40</v>
      </c>
      <c r="E22" s="13"/>
      <c r="F22" s="13"/>
      <c r="G22" s="12" t="s">
        <v>41</v>
      </c>
      <c r="H22" s="13"/>
      <c r="I22" s="13"/>
    </row>
    <row r="23" ht="15.75" customHeight="1">
      <c r="A23" s="10" t="s">
        <v>83</v>
      </c>
      <c r="B23" s="10" t="s">
        <v>30</v>
      </c>
      <c r="C23" s="10" t="s">
        <v>84</v>
      </c>
      <c r="D23" s="12" t="s">
        <v>40</v>
      </c>
      <c r="E23" s="13"/>
      <c r="F23" s="13"/>
      <c r="G23" s="12" t="s">
        <v>41</v>
      </c>
      <c r="H23" s="13"/>
      <c r="I23" s="13"/>
    </row>
    <row r="24" ht="15.75" customHeight="1">
      <c r="A24" s="10" t="s">
        <v>85</v>
      </c>
      <c r="B24" s="10" t="s">
        <v>30</v>
      </c>
      <c r="C24" s="10" t="s">
        <v>86</v>
      </c>
      <c r="D24" s="12" t="s">
        <v>40</v>
      </c>
      <c r="E24" s="13"/>
      <c r="F24" s="13"/>
      <c r="G24" s="12" t="s">
        <v>41</v>
      </c>
      <c r="H24" s="13"/>
      <c r="I24" s="13"/>
    </row>
    <row r="25" ht="15.75" customHeight="1">
      <c r="A25" s="10" t="s">
        <v>87</v>
      </c>
      <c r="B25" s="10" t="s">
        <v>30</v>
      </c>
      <c r="C25" s="10" t="s">
        <v>88</v>
      </c>
      <c r="D25" s="12" t="s">
        <v>40</v>
      </c>
      <c r="E25" s="13"/>
      <c r="F25" s="13"/>
      <c r="G25" s="12" t="s">
        <v>41</v>
      </c>
      <c r="H25" s="13"/>
      <c r="I25" s="13"/>
    </row>
    <row r="26" ht="15.75" customHeight="1">
      <c r="A26" s="10" t="s">
        <v>89</v>
      </c>
      <c r="B26" s="10" t="s">
        <v>30</v>
      </c>
      <c r="C26" s="10" t="s">
        <v>90</v>
      </c>
      <c r="D26" s="12" t="s">
        <v>40</v>
      </c>
      <c r="E26" s="13"/>
      <c r="F26" s="13"/>
      <c r="G26" s="12" t="s">
        <v>41</v>
      </c>
      <c r="H26" s="13"/>
      <c r="I26" s="13"/>
    </row>
    <row r="27" ht="15.75" customHeight="1">
      <c r="A27" s="10" t="s">
        <v>91</v>
      </c>
      <c r="B27" s="10" t="s">
        <v>30</v>
      </c>
      <c r="C27" s="10" t="s">
        <v>92</v>
      </c>
      <c r="D27" s="12" t="s">
        <v>40</v>
      </c>
      <c r="E27" s="13"/>
      <c r="F27" s="13"/>
      <c r="G27" s="12" t="s">
        <v>41</v>
      </c>
      <c r="H27" s="13"/>
      <c r="I27" s="13"/>
    </row>
    <row r="28" ht="15.75" customHeight="1">
      <c r="A28" s="10" t="s">
        <v>93</v>
      </c>
      <c r="B28" s="10" t="s">
        <v>30</v>
      </c>
      <c r="C28" s="10" t="s">
        <v>94</v>
      </c>
      <c r="D28" s="14" t="s">
        <v>34</v>
      </c>
      <c r="E28" s="13"/>
      <c r="F28" s="14" t="s">
        <v>95</v>
      </c>
      <c r="G28" s="14" t="s">
        <v>36</v>
      </c>
      <c r="H28" s="14" t="s">
        <v>96</v>
      </c>
      <c r="I28" s="13"/>
    </row>
    <row r="29" ht="15.75" customHeight="1">
      <c r="A29" s="10" t="s">
        <v>98</v>
      </c>
      <c r="B29" s="10" t="s">
        <v>30</v>
      </c>
      <c r="C29" s="10" t="s">
        <v>99</v>
      </c>
      <c r="D29" s="12" t="s">
        <v>40</v>
      </c>
      <c r="E29" s="13"/>
      <c r="F29" s="13"/>
      <c r="G29" s="12" t="s">
        <v>41</v>
      </c>
      <c r="H29" s="13"/>
      <c r="I29" s="13"/>
    </row>
    <row r="30" ht="15.75" customHeight="1">
      <c r="A30" s="10" t="s">
        <v>100</v>
      </c>
      <c r="B30" s="10" t="s">
        <v>30</v>
      </c>
      <c r="C30" s="10" t="s">
        <v>101</v>
      </c>
      <c r="D30" s="12" t="s">
        <v>40</v>
      </c>
      <c r="E30" s="13"/>
      <c r="F30" s="13"/>
      <c r="G30" s="12" t="s">
        <v>41</v>
      </c>
      <c r="H30" s="13"/>
      <c r="I30" s="13"/>
    </row>
    <row r="31" ht="15.75" customHeight="1">
      <c r="A31" s="10" t="s">
        <v>102</v>
      </c>
      <c r="B31" s="10" t="s">
        <v>30</v>
      </c>
      <c r="C31" s="10" t="s">
        <v>103</v>
      </c>
      <c r="D31" s="12" t="s">
        <v>40</v>
      </c>
      <c r="E31" s="13"/>
      <c r="F31" s="13"/>
      <c r="G31" s="12" t="s">
        <v>41</v>
      </c>
      <c r="H31" s="13"/>
      <c r="I31" s="13"/>
    </row>
    <row r="32" ht="15.75" customHeight="1">
      <c r="A32" s="10" t="s">
        <v>104</v>
      </c>
      <c r="B32" s="10" t="s">
        <v>30</v>
      </c>
      <c r="C32" s="10" t="s">
        <v>105</v>
      </c>
      <c r="D32" s="12" t="s">
        <v>40</v>
      </c>
      <c r="E32" s="13"/>
      <c r="F32" s="13"/>
      <c r="G32" s="12" t="s">
        <v>41</v>
      </c>
      <c r="H32" s="13"/>
      <c r="I32" s="13"/>
    </row>
    <row r="33" ht="15.75" customHeight="1">
      <c r="A33" s="10" t="s">
        <v>106</v>
      </c>
      <c r="B33" s="10" t="s">
        <v>30</v>
      </c>
      <c r="C33" s="10" t="s">
        <v>107</v>
      </c>
      <c r="D33" s="12" t="s">
        <v>40</v>
      </c>
      <c r="E33" s="13"/>
      <c r="F33" s="13"/>
      <c r="G33" s="12" t="s">
        <v>41</v>
      </c>
      <c r="H33" s="13"/>
      <c r="I33" s="13"/>
    </row>
    <row r="34" ht="15.75" customHeight="1">
      <c r="A34" s="10" t="s">
        <v>108</v>
      </c>
      <c r="B34" s="10" t="s">
        <v>30</v>
      </c>
      <c r="C34" s="10" t="s">
        <v>109</v>
      </c>
      <c r="D34" s="12" t="s">
        <v>40</v>
      </c>
      <c r="E34" s="13"/>
      <c r="F34" s="13"/>
      <c r="G34" s="12" t="s">
        <v>41</v>
      </c>
      <c r="H34" s="13"/>
      <c r="I34" s="13"/>
    </row>
    <row r="35" ht="15.75" customHeight="1">
      <c r="A35" s="10" t="s">
        <v>110</v>
      </c>
      <c r="B35" s="10" t="s">
        <v>30</v>
      </c>
      <c r="C35" s="10" t="s">
        <v>111</v>
      </c>
      <c r="D35" s="12" t="s">
        <v>40</v>
      </c>
      <c r="E35" s="13"/>
      <c r="F35" s="13"/>
      <c r="G35" s="12" t="s">
        <v>41</v>
      </c>
      <c r="H35" s="13"/>
      <c r="I35" s="13"/>
    </row>
    <row r="36" ht="15.75" customHeight="1">
      <c r="A36" s="10" t="s">
        <v>112</v>
      </c>
      <c r="B36" s="10" t="s">
        <v>30</v>
      </c>
      <c r="C36" s="10" t="s">
        <v>113</v>
      </c>
      <c r="D36" s="12" t="s">
        <v>40</v>
      </c>
      <c r="E36" s="13"/>
      <c r="F36" s="13"/>
      <c r="G36" s="12" t="s">
        <v>41</v>
      </c>
      <c r="H36" s="13"/>
      <c r="I36" s="13"/>
    </row>
    <row r="37" ht="15.75" customHeight="1">
      <c r="A37" s="10" t="s">
        <v>114</v>
      </c>
      <c r="B37" s="10" t="s">
        <v>30</v>
      </c>
      <c r="C37" s="10" t="s">
        <v>115</v>
      </c>
      <c r="D37" s="12" t="s">
        <v>40</v>
      </c>
      <c r="E37" s="13"/>
      <c r="F37" s="13"/>
      <c r="G37" s="12" t="s">
        <v>41</v>
      </c>
      <c r="H37" s="13"/>
      <c r="I37" s="13"/>
    </row>
    <row r="38" ht="15.75" customHeight="1">
      <c r="A38" s="10" t="s">
        <v>117</v>
      </c>
      <c r="B38" s="10" t="s">
        <v>30</v>
      </c>
      <c r="C38" s="10" t="s">
        <v>118</v>
      </c>
      <c r="D38" s="12" t="s">
        <v>40</v>
      </c>
      <c r="E38" s="13"/>
      <c r="F38" s="13"/>
      <c r="G38" s="12" t="s">
        <v>41</v>
      </c>
      <c r="H38" s="13"/>
      <c r="I38" s="13"/>
    </row>
    <row r="39" ht="15.75" customHeight="1">
      <c r="A39" s="10" t="s">
        <v>119</v>
      </c>
      <c r="B39" s="10" t="s">
        <v>30</v>
      </c>
      <c r="C39" s="10" t="s">
        <v>120</v>
      </c>
      <c r="D39" s="12" t="s">
        <v>40</v>
      </c>
      <c r="E39" s="13"/>
      <c r="F39" s="13"/>
      <c r="G39" s="12" t="s">
        <v>41</v>
      </c>
      <c r="H39" s="13"/>
      <c r="I39" s="13"/>
    </row>
    <row r="40" ht="15.75" customHeight="1">
      <c r="A40" s="10" t="s">
        <v>121</v>
      </c>
      <c r="B40" s="10" t="s">
        <v>30</v>
      </c>
      <c r="C40" s="10" t="s">
        <v>122</v>
      </c>
      <c r="D40" s="12" t="s">
        <v>40</v>
      </c>
      <c r="E40" s="13"/>
      <c r="F40" s="13"/>
      <c r="G40" s="12" t="s">
        <v>41</v>
      </c>
      <c r="H40" s="13"/>
      <c r="I40" s="13"/>
    </row>
    <row r="41" ht="15.75" customHeight="1">
      <c r="A41" s="10" t="s">
        <v>123</v>
      </c>
      <c r="B41" s="10" t="s">
        <v>30</v>
      </c>
      <c r="C41" s="10" t="s">
        <v>124</v>
      </c>
      <c r="D41" s="15" t="s">
        <v>34</v>
      </c>
      <c r="E41" s="13"/>
      <c r="F41" s="14" t="s">
        <v>125</v>
      </c>
      <c r="G41" s="16" t="s">
        <v>36</v>
      </c>
      <c r="H41" s="14" t="s">
        <v>126</v>
      </c>
      <c r="I41" s="15" t="s">
        <v>127</v>
      </c>
    </row>
    <row r="42" ht="15.75" customHeight="1">
      <c r="A42" s="17" t="s">
        <v>128</v>
      </c>
      <c r="B42" s="17" t="s">
        <v>81</v>
      </c>
      <c r="C42" s="17" t="s">
        <v>130</v>
      </c>
      <c r="D42" s="12" t="s">
        <v>40</v>
      </c>
      <c r="E42" s="13"/>
      <c r="F42" s="13"/>
      <c r="G42" s="12" t="s">
        <v>41</v>
      </c>
      <c r="H42" s="13"/>
      <c r="I42" s="13"/>
    </row>
    <row r="43" ht="15.75" customHeight="1">
      <c r="A43" s="17" t="s">
        <v>131</v>
      </c>
      <c r="B43" s="17" t="s">
        <v>81</v>
      </c>
      <c r="C43" s="17" t="s">
        <v>132</v>
      </c>
      <c r="D43" s="12" t="s">
        <v>40</v>
      </c>
      <c r="E43" s="13"/>
      <c r="F43" s="13"/>
      <c r="G43" s="12" t="s">
        <v>41</v>
      </c>
      <c r="H43" s="13"/>
      <c r="I43" s="13"/>
    </row>
    <row r="44" ht="15.75" customHeight="1">
      <c r="A44" s="17" t="s">
        <v>134</v>
      </c>
      <c r="B44" s="17" t="s">
        <v>81</v>
      </c>
      <c r="C44" s="17" t="s">
        <v>135</v>
      </c>
      <c r="D44" s="12" t="s">
        <v>40</v>
      </c>
      <c r="E44" s="13"/>
      <c r="F44" s="13"/>
      <c r="G44" s="12" t="s">
        <v>41</v>
      </c>
      <c r="H44" s="13"/>
      <c r="I44" s="13"/>
    </row>
    <row r="45" ht="15.75" customHeight="1">
      <c r="A45" s="17" t="s">
        <v>136</v>
      </c>
      <c r="B45" s="17" t="s">
        <v>81</v>
      </c>
      <c r="C45" s="17" t="s">
        <v>137</v>
      </c>
      <c r="D45" s="12" t="s">
        <v>40</v>
      </c>
      <c r="E45" s="13"/>
      <c r="F45" s="13"/>
      <c r="G45" s="12" t="s">
        <v>41</v>
      </c>
      <c r="H45" s="13"/>
      <c r="I45" s="13"/>
    </row>
    <row r="46" ht="15.75" customHeight="1">
      <c r="A46" s="17" t="s">
        <v>138</v>
      </c>
      <c r="B46" s="17" t="s">
        <v>81</v>
      </c>
      <c r="C46" s="17" t="s">
        <v>139</v>
      </c>
      <c r="D46" s="12" t="s">
        <v>40</v>
      </c>
      <c r="E46" s="13"/>
      <c r="F46" s="13"/>
      <c r="G46" s="12" t="s">
        <v>41</v>
      </c>
      <c r="H46" s="13"/>
      <c r="I46" s="13"/>
    </row>
    <row r="47" ht="15.75" customHeight="1">
      <c r="A47" s="17" t="s">
        <v>140</v>
      </c>
      <c r="B47" s="17" t="s">
        <v>81</v>
      </c>
      <c r="C47" s="17" t="s">
        <v>141</v>
      </c>
      <c r="D47" s="12" t="s">
        <v>40</v>
      </c>
      <c r="E47" s="13"/>
      <c r="F47" s="13"/>
      <c r="G47" s="12" t="s">
        <v>41</v>
      </c>
      <c r="H47" s="13"/>
      <c r="I47" s="13"/>
    </row>
    <row r="48" ht="15.75" customHeight="1">
      <c r="A48" s="17" t="s">
        <v>142</v>
      </c>
      <c r="B48" s="17" t="s">
        <v>81</v>
      </c>
      <c r="C48" s="17" t="s">
        <v>143</v>
      </c>
      <c r="D48" s="12" t="s">
        <v>40</v>
      </c>
      <c r="E48" s="13"/>
      <c r="F48" s="13"/>
      <c r="G48" s="12" t="s">
        <v>41</v>
      </c>
      <c r="H48" s="13"/>
      <c r="I48" s="13"/>
    </row>
    <row r="49" ht="15.75" customHeight="1">
      <c r="A49" s="17" t="s">
        <v>144</v>
      </c>
      <c r="B49" s="17" t="s">
        <v>81</v>
      </c>
      <c r="C49" s="17" t="s">
        <v>145</v>
      </c>
      <c r="D49" s="12" t="s">
        <v>40</v>
      </c>
      <c r="E49" s="13"/>
      <c r="F49" s="13"/>
      <c r="G49" s="12" t="s">
        <v>41</v>
      </c>
      <c r="H49" s="13"/>
      <c r="I49" s="13"/>
    </row>
    <row r="50" ht="15.75" customHeight="1">
      <c r="A50" s="19" t="s">
        <v>146</v>
      </c>
      <c r="B50" s="19" t="s">
        <v>97</v>
      </c>
      <c r="C50" s="19" t="s">
        <v>147</v>
      </c>
      <c r="D50" s="12" t="s">
        <v>33</v>
      </c>
      <c r="E50" s="12" t="s">
        <v>148</v>
      </c>
      <c r="F50" s="13"/>
      <c r="G50" s="12" t="s">
        <v>41</v>
      </c>
      <c r="H50" s="13"/>
      <c r="I50" s="13"/>
    </row>
    <row r="51" ht="15.75" customHeight="1">
      <c r="A51" s="19" t="s">
        <v>149</v>
      </c>
      <c r="B51" s="19" t="s">
        <v>97</v>
      </c>
      <c r="C51" s="19" t="s">
        <v>150</v>
      </c>
      <c r="D51" s="12" t="s">
        <v>40</v>
      </c>
      <c r="E51" s="13"/>
      <c r="F51" s="13"/>
      <c r="G51" s="12" t="s">
        <v>41</v>
      </c>
      <c r="H51" s="13"/>
      <c r="I51" s="13"/>
    </row>
    <row r="52" ht="15.75" customHeight="1">
      <c r="A52" s="19" t="s">
        <v>151</v>
      </c>
      <c r="B52" s="19" t="s">
        <v>97</v>
      </c>
      <c r="C52" s="19" t="s">
        <v>152</v>
      </c>
      <c r="D52" s="12" t="s">
        <v>40</v>
      </c>
      <c r="E52" s="13"/>
      <c r="F52" s="13"/>
      <c r="G52" s="12" t="s">
        <v>41</v>
      </c>
      <c r="H52" s="13"/>
      <c r="I52" s="13"/>
    </row>
    <row r="53" ht="15.75" customHeight="1">
      <c r="A53" s="19" t="s">
        <v>153</v>
      </c>
      <c r="B53" s="19" t="s">
        <v>97</v>
      </c>
      <c r="C53" s="19" t="s">
        <v>154</v>
      </c>
      <c r="D53" s="12" t="s">
        <v>40</v>
      </c>
      <c r="E53" s="13"/>
      <c r="F53" s="13"/>
      <c r="G53" s="12" t="s">
        <v>41</v>
      </c>
      <c r="H53" s="13"/>
      <c r="I53" s="13"/>
    </row>
    <row r="54" ht="15.75" customHeight="1">
      <c r="A54" s="19" t="s">
        <v>155</v>
      </c>
      <c r="B54" s="19" t="s">
        <v>97</v>
      </c>
      <c r="C54" s="19" t="s">
        <v>156</v>
      </c>
      <c r="D54" s="12" t="s">
        <v>40</v>
      </c>
      <c r="E54" s="13"/>
      <c r="F54" s="13"/>
      <c r="G54" s="12" t="s">
        <v>41</v>
      </c>
      <c r="H54" s="13"/>
      <c r="I54" s="13"/>
    </row>
    <row r="55" ht="15.75" customHeight="1">
      <c r="A55" s="19" t="s">
        <v>157</v>
      </c>
      <c r="B55" s="19" t="s">
        <v>97</v>
      </c>
      <c r="C55" s="19" t="s">
        <v>158</v>
      </c>
      <c r="D55" s="12" t="s">
        <v>40</v>
      </c>
      <c r="E55" s="13"/>
      <c r="F55" s="13"/>
      <c r="G55" s="12" t="s">
        <v>41</v>
      </c>
      <c r="H55" s="13"/>
      <c r="I55" s="13"/>
    </row>
    <row r="56" ht="15.75" customHeight="1">
      <c r="A56" s="19" t="s">
        <v>159</v>
      </c>
      <c r="B56" s="19" t="s">
        <v>97</v>
      </c>
      <c r="C56" s="19" t="s">
        <v>160</v>
      </c>
      <c r="D56" s="12" t="s">
        <v>40</v>
      </c>
      <c r="E56" s="13"/>
      <c r="F56" s="13"/>
      <c r="G56" s="12" t="s">
        <v>41</v>
      </c>
      <c r="H56" s="13"/>
      <c r="I56" s="13"/>
    </row>
    <row r="57" ht="15.75" customHeight="1">
      <c r="A57" s="19" t="s">
        <v>161</v>
      </c>
      <c r="B57" s="19" t="s">
        <v>97</v>
      </c>
      <c r="C57" s="19" t="s">
        <v>162</v>
      </c>
      <c r="D57" s="12" t="s">
        <v>40</v>
      </c>
      <c r="E57" s="13"/>
      <c r="F57" s="13"/>
      <c r="G57" s="12" t="s">
        <v>41</v>
      </c>
      <c r="H57" s="13"/>
      <c r="I57" s="13"/>
    </row>
    <row r="58" ht="15.75" customHeight="1">
      <c r="A58" s="19" t="s">
        <v>163</v>
      </c>
      <c r="B58" s="19" t="s">
        <v>97</v>
      </c>
      <c r="C58" s="19" t="s">
        <v>164</v>
      </c>
      <c r="D58" s="12" t="s">
        <v>40</v>
      </c>
      <c r="E58" s="13"/>
      <c r="F58" s="13"/>
      <c r="G58" s="12" t="s">
        <v>41</v>
      </c>
      <c r="H58" s="13"/>
      <c r="I58" s="13"/>
    </row>
    <row r="59" ht="15.75" customHeight="1">
      <c r="A59" s="19" t="s">
        <v>165</v>
      </c>
      <c r="B59" s="19" t="s">
        <v>97</v>
      </c>
      <c r="C59" s="19" t="s">
        <v>166</v>
      </c>
      <c r="D59" s="12" t="s">
        <v>40</v>
      </c>
      <c r="E59" s="13"/>
      <c r="F59" s="13"/>
      <c r="G59" s="12" t="s">
        <v>41</v>
      </c>
      <c r="H59" s="13"/>
      <c r="I59" s="13"/>
    </row>
    <row r="60" ht="15.75" customHeight="1">
      <c r="A60" s="19" t="s">
        <v>167</v>
      </c>
      <c r="B60" s="19" t="s">
        <v>97</v>
      </c>
      <c r="C60" s="19" t="s">
        <v>168</v>
      </c>
      <c r="D60" s="12" t="s">
        <v>40</v>
      </c>
      <c r="E60" s="13"/>
      <c r="F60" s="13"/>
      <c r="G60" s="12" t="s">
        <v>41</v>
      </c>
      <c r="H60" s="13"/>
      <c r="I60" s="13"/>
    </row>
    <row r="61" ht="15.75" customHeight="1">
      <c r="A61" s="19" t="s">
        <v>169</v>
      </c>
      <c r="B61" s="19" t="s">
        <v>97</v>
      </c>
      <c r="C61" s="19" t="s">
        <v>170</v>
      </c>
      <c r="D61" s="12" t="s">
        <v>40</v>
      </c>
      <c r="E61" s="13"/>
      <c r="F61" s="13"/>
      <c r="G61" s="12" t="s">
        <v>41</v>
      </c>
      <c r="H61" s="13"/>
      <c r="I61" s="13"/>
    </row>
    <row r="62" ht="15.75" customHeight="1">
      <c r="A62" s="19" t="s">
        <v>171</v>
      </c>
      <c r="B62" s="19" t="s">
        <v>97</v>
      </c>
      <c r="C62" s="19" t="s">
        <v>172</v>
      </c>
      <c r="D62" s="12" t="s">
        <v>52</v>
      </c>
      <c r="E62" s="12" t="s">
        <v>173</v>
      </c>
      <c r="F62" s="12" t="s">
        <v>174</v>
      </c>
      <c r="G62" s="12" t="s">
        <v>175</v>
      </c>
      <c r="H62" s="12" t="s">
        <v>176</v>
      </c>
      <c r="I62" s="13"/>
    </row>
    <row r="63" ht="15.75" customHeight="1">
      <c r="A63" s="19" t="s">
        <v>177</v>
      </c>
      <c r="B63" s="19" t="s">
        <v>97</v>
      </c>
      <c r="C63" s="19" t="s">
        <v>178</v>
      </c>
      <c r="D63" s="12" t="s">
        <v>40</v>
      </c>
      <c r="E63" s="13"/>
      <c r="F63" s="13"/>
      <c r="G63" s="12" t="s">
        <v>41</v>
      </c>
      <c r="H63" s="13"/>
      <c r="I63" s="13"/>
    </row>
    <row r="64" ht="15.75" customHeight="1">
      <c r="A64" s="20" t="s">
        <v>179</v>
      </c>
      <c r="B64" s="20" t="s">
        <v>116</v>
      </c>
      <c r="C64" s="20" t="s">
        <v>180</v>
      </c>
      <c r="D64" s="12" t="s">
        <v>40</v>
      </c>
      <c r="E64" s="13"/>
      <c r="F64" s="13"/>
      <c r="G64" s="12" t="s">
        <v>41</v>
      </c>
      <c r="H64" s="13"/>
      <c r="I64" s="13"/>
    </row>
    <row r="65" ht="15.75" customHeight="1">
      <c r="A65" s="20" t="s">
        <v>181</v>
      </c>
      <c r="B65" s="20" t="s">
        <v>116</v>
      </c>
      <c r="C65" s="20" t="s">
        <v>182</v>
      </c>
      <c r="D65" s="12" t="s">
        <v>40</v>
      </c>
      <c r="E65" s="13"/>
      <c r="F65" s="21"/>
      <c r="G65" s="12" t="s">
        <v>41</v>
      </c>
      <c r="H65" s="13"/>
      <c r="I65" s="13"/>
    </row>
    <row r="66" ht="15.75" customHeight="1">
      <c r="A66" s="20" t="s">
        <v>183</v>
      </c>
      <c r="B66" s="20" t="s">
        <v>116</v>
      </c>
      <c r="C66" s="20" t="s">
        <v>184</v>
      </c>
      <c r="D66" s="22" t="s">
        <v>33</v>
      </c>
      <c r="E66" s="23" t="s">
        <v>185</v>
      </c>
      <c r="F66" s="14"/>
      <c r="G66" s="22" t="s">
        <v>41</v>
      </c>
      <c r="H66" s="13"/>
      <c r="I66" s="13"/>
    </row>
    <row r="67" ht="15.75" customHeight="1">
      <c r="A67" s="20" t="s">
        <v>186</v>
      </c>
      <c r="B67" s="20" t="s">
        <v>116</v>
      </c>
      <c r="C67" s="20" t="s">
        <v>187</v>
      </c>
      <c r="D67" s="12" t="s">
        <v>40</v>
      </c>
      <c r="E67" s="13"/>
      <c r="F67" s="21"/>
      <c r="G67" s="12" t="s">
        <v>41</v>
      </c>
      <c r="H67" s="13"/>
      <c r="I67" s="13"/>
    </row>
    <row r="68" ht="15.75" customHeight="1">
      <c r="A68" s="20" t="s">
        <v>188</v>
      </c>
      <c r="B68" s="20" t="s">
        <v>116</v>
      </c>
      <c r="C68" s="20" t="s">
        <v>189</v>
      </c>
      <c r="D68" s="12" t="s">
        <v>40</v>
      </c>
      <c r="E68" s="13"/>
      <c r="F68" s="21"/>
      <c r="G68" s="13"/>
      <c r="H68" s="13"/>
      <c r="I68" s="13"/>
    </row>
    <row r="69" ht="15.75" customHeight="1">
      <c r="A69" s="20" t="s">
        <v>190</v>
      </c>
      <c r="B69" s="20" t="s">
        <v>116</v>
      </c>
      <c r="C69" s="20" t="s">
        <v>191</v>
      </c>
      <c r="D69" s="12" t="s">
        <v>52</v>
      </c>
      <c r="E69" s="12" t="s">
        <v>192</v>
      </c>
      <c r="F69" s="24" t="s">
        <v>193</v>
      </c>
      <c r="G69" s="12" t="s">
        <v>36</v>
      </c>
      <c r="H69" s="12" t="s">
        <v>194</v>
      </c>
      <c r="I69" s="13"/>
    </row>
    <row r="70" ht="15.75" customHeight="1">
      <c r="A70" s="20" t="s">
        <v>195</v>
      </c>
      <c r="B70" s="20" t="s">
        <v>116</v>
      </c>
      <c r="C70" s="20" t="s">
        <v>196</v>
      </c>
      <c r="D70" s="12" t="s">
        <v>33</v>
      </c>
      <c r="E70" s="12" t="s">
        <v>197</v>
      </c>
      <c r="F70" s="21"/>
      <c r="G70" s="12" t="s">
        <v>41</v>
      </c>
      <c r="H70" s="13"/>
      <c r="I70" s="13"/>
    </row>
    <row r="71" ht="15.75" customHeight="1">
      <c r="A71" s="20" t="s">
        <v>198</v>
      </c>
      <c r="B71" s="20" t="s">
        <v>116</v>
      </c>
      <c r="C71" s="20" t="s">
        <v>199</v>
      </c>
      <c r="D71" s="12" t="s">
        <v>40</v>
      </c>
      <c r="E71" s="13"/>
      <c r="F71" s="21"/>
      <c r="G71" s="13"/>
      <c r="H71" s="13"/>
      <c r="I71" s="13"/>
    </row>
    <row r="72" ht="15.75" customHeight="1">
      <c r="A72" s="20" t="s">
        <v>200</v>
      </c>
      <c r="B72" s="20" t="s">
        <v>116</v>
      </c>
      <c r="C72" s="20" t="s">
        <v>201</v>
      </c>
      <c r="D72" s="15" t="s">
        <v>34</v>
      </c>
      <c r="E72" s="13"/>
      <c r="F72" s="14" t="s">
        <v>202</v>
      </c>
      <c r="G72" s="14" t="s">
        <v>36</v>
      </c>
      <c r="H72" s="23" t="s">
        <v>203</v>
      </c>
      <c r="I72" s="13"/>
    </row>
    <row r="73" ht="15.75" customHeight="1">
      <c r="A73" s="20" t="s">
        <v>204</v>
      </c>
      <c r="B73" s="20" t="s">
        <v>116</v>
      </c>
      <c r="C73" s="20" t="s">
        <v>205</v>
      </c>
      <c r="D73" s="12" t="s">
        <v>40</v>
      </c>
      <c r="E73" s="13"/>
      <c r="F73" s="21"/>
      <c r="G73" s="12" t="s">
        <v>41</v>
      </c>
      <c r="H73" s="13"/>
      <c r="I73" s="13"/>
    </row>
    <row r="74" ht="15.75" customHeight="1">
      <c r="A74" s="20" t="s">
        <v>206</v>
      </c>
      <c r="B74" s="20" t="s">
        <v>116</v>
      </c>
      <c r="C74" s="20" t="s">
        <v>207</v>
      </c>
      <c r="D74" s="12" t="s">
        <v>40</v>
      </c>
      <c r="E74" s="13"/>
      <c r="F74" s="21"/>
      <c r="G74" s="13"/>
      <c r="H74" s="13"/>
      <c r="I74" s="13"/>
    </row>
    <row r="75" ht="15.75" customHeight="1">
      <c r="A75" s="20" t="s">
        <v>208</v>
      </c>
      <c r="B75" s="20" t="s">
        <v>116</v>
      </c>
      <c r="C75" s="20" t="s">
        <v>209</v>
      </c>
      <c r="D75" s="12" t="s">
        <v>40</v>
      </c>
      <c r="E75" s="13"/>
      <c r="F75" s="21"/>
      <c r="G75" s="13"/>
      <c r="H75" s="13"/>
      <c r="I75" s="13"/>
    </row>
    <row r="76" ht="15.75" customHeight="1">
      <c r="A76" s="20" t="s">
        <v>210</v>
      </c>
      <c r="B76" s="20" t="s">
        <v>116</v>
      </c>
      <c r="C76" s="20" t="s">
        <v>211</v>
      </c>
      <c r="D76" s="15" t="s">
        <v>34</v>
      </c>
      <c r="E76" s="13"/>
      <c r="F76" s="14" t="s">
        <v>212</v>
      </c>
      <c r="G76" s="14" t="s">
        <v>213</v>
      </c>
      <c r="H76" s="14" t="s">
        <v>214</v>
      </c>
      <c r="I76" s="13"/>
    </row>
    <row r="77" ht="15.75" customHeight="1">
      <c r="A77" s="20" t="s">
        <v>215</v>
      </c>
      <c r="B77" s="20" t="s">
        <v>116</v>
      </c>
      <c r="C77" s="20" t="s">
        <v>216</v>
      </c>
      <c r="D77" s="12" t="s">
        <v>40</v>
      </c>
      <c r="E77" s="13"/>
      <c r="F77" s="21"/>
      <c r="G77" s="12" t="s">
        <v>41</v>
      </c>
      <c r="H77" s="13"/>
      <c r="I77" s="13"/>
    </row>
    <row r="78" ht="15.75" customHeight="1">
      <c r="A78" s="20" t="s">
        <v>217</v>
      </c>
      <c r="B78" s="20" t="s">
        <v>116</v>
      </c>
      <c r="C78" s="20" t="s">
        <v>218</v>
      </c>
      <c r="D78" s="15" t="s">
        <v>34</v>
      </c>
      <c r="E78" s="13"/>
      <c r="F78" s="23" t="s">
        <v>219</v>
      </c>
      <c r="G78" s="14" t="s">
        <v>36</v>
      </c>
      <c r="H78" s="14" t="s">
        <v>220</v>
      </c>
      <c r="I78" s="13"/>
    </row>
    <row r="79" ht="15.75" customHeight="1">
      <c r="A79" s="20" t="s">
        <v>221</v>
      </c>
      <c r="B79" s="20" t="s">
        <v>116</v>
      </c>
      <c r="C79" s="20" t="s">
        <v>222</v>
      </c>
      <c r="D79" s="12" t="s">
        <v>52</v>
      </c>
      <c r="E79" s="12" t="s">
        <v>223</v>
      </c>
      <c r="F79" s="24" t="s">
        <v>224</v>
      </c>
      <c r="G79" s="13"/>
      <c r="H79" s="12" t="s">
        <v>225</v>
      </c>
      <c r="I79" s="13"/>
    </row>
    <row r="80" ht="15.75" customHeight="1">
      <c r="A80" s="20" t="s">
        <v>226</v>
      </c>
      <c r="B80" s="20" t="s">
        <v>116</v>
      </c>
      <c r="C80" s="20" t="s">
        <v>227</v>
      </c>
      <c r="D80" s="12" t="s">
        <v>40</v>
      </c>
      <c r="E80" s="13"/>
      <c r="F80" s="21"/>
      <c r="G80" s="12" t="s">
        <v>41</v>
      </c>
      <c r="H80" s="13"/>
      <c r="I80" s="13"/>
    </row>
    <row r="81" ht="15.75" customHeight="1">
      <c r="A81" s="20" t="s">
        <v>228</v>
      </c>
      <c r="B81" s="20" t="s">
        <v>116</v>
      </c>
      <c r="C81" s="20" t="s">
        <v>229</v>
      </c>
      <c r="D81" s="12" t="s">
        <v>40</v>
      </c>
      <c r="E81" s="13"/>
      <c r="F81" s="21"/>
      <c r="G81" s="12" t="s">
        <v>41</v>
      </c>
      <c r="H81" s="13"/>
      <c r="I81" s="13"/>
    </row>
    <row r="82" ht="15.75" customHeight="1">
      <c r="A82" s="20" t="s">
        <v>230</v>
      </c>
      <c r="B82" s="20" t="s">
        <v>116</v>
      </c>
      <c r="C82" s="20" t="s">
        <v>231</v>
      </c>
      <c r="D82" s="12" t="s">
        <v>40</v>
      </c>
      <c r="E82" s="13"/>
      <c r="F82" s="21"/>
      <c r="G82" s="12" t="s">
        <v>41</v>
      </c>
      <c r="H82" s="13"/>
      <c r="I82" s="13"/>
    </row>
    <row r="83" ht="15.75" customHeight="1">
      <c r="A83" s="20" t="s">
        <v>232</v>
      </c>
      <c r="B83" s="20" t="s">
        <v>116</v>
      </c>
      <c r="C83" s="20" t="s">
        <v>233</v>
      </c>
      <c r="D83" s="15" t="s">
        <v>52</v>
      </c>
      <c r="E83" s="14" t="s">
        <v>234</v>
      </c>
      <c r="F83" s="14" t="s">
        <v>235</v>
      </c>
      <c r="G83" s="14" t="s">
        <v>175</v>
      </c>
      <c r="H83" s="14" t="s">
        <v>236</v>
      </c>
      <c r="I83" s="13"/>
    </row>
    <row r="84" ht="15.75" customHeight="1">
      <c r="A84" s="20" t="s">
        <v>237</v>
      </c>
      <c r="B84" s="20" t="s">
        <v>116</v>
      </c>
      <c r="C84" s="20" t="s">
        <v>238</v>
      </c>
      <c r="D84" s="12" t="s">
        <v>33</v>
      </c>
      <c r="E84" s="12" t="s">
        <v>239</v>
      </c>
      <c r="F84" s="21"/>
      <c r="G84" s="13"/>
      <c r="H84" s="13"/>
      <c r="I84" s="13"/>
    </row>
    <row r="85" ht="15.75" customHeight="1">
      <c r="A85" s="20" t="s">
        <v>240</v>
      </c>
      <c r="B85" s="20" t="s">
        <v>116</v>
      </c>
      <c r="C85" s="20" t="s">
        <v>241</v>
      </c>
      <c r="D85" s="15" t="s">
        <v>33</v>
      </c>
      <c r="E85" s="23" t="s">
        <v>242</v>
      </c>
      <c r="F85" s="14" t="s">
        <v>243</v>
      </c>
      <c r="G85" s="14" t="s">
        <v>175</v>
      </c>
      <c r="H85" s="14"/>
      <c r="I85" s="14" t="s">
        <v>127</v>
      </c>
    </row>
    <row r="86" ht="15.75" customHeight="1">
      <c r="A86" s="20" t="s">
        <v>244</v>
      </c>
      <c r="B86" s="20" t="s">
        <v>116</v>
      </c>
      <c r="C86" s="20" t="s">
        <v>245</v>
      </c>
      <c r="D86" s="12" t="s">
        <v>33</v>
      </c>
      <c r="E86" s="12" t="s">
        <v>246</v>
      </c>
      <c r="F86" s="13"/>
      <c r="G86" s="12" t="s">
        <v>41</v>
      </c>
      <c r="H86" s="13"/>
      <c r="I86" s="13"/>
    </row>
    <row r="87" ht="15.75" customHeight="1">
      <c r="A87" s="20" t="s">
        <v>247</v>
      </c>
      <c r="B87" s="20" t="s">
        <v>116</v>
      </c>
      <c r="C87" s="20" t="s">
        <v>248</v>
      </c>
      <c r="D87" s="12" t="s">
        <v>40</v>
      </c>
      <c r="E87" s="13"/>
      <c r="F87" s="13"/>
      <c r="G87" s="12" t="s">
        <v>41</v>
      </c>
      <c r="H87" s="13"/>
      <c r="I87" s="13"/>
    </row>
    <row r="88" ht="15.75" customHeight="1">
      <c r="A88" s="20" t="s">
        <v>249</v>
      </c>
      <c r="B88" s="20" t="s">
        <v>116</v>
      </c>
      <c r="C88" s="20" t="s">
        <v>250</v>
      </c>
      <c r="D88" s="12" t="s">
        <v>40</v>
      </c>
      <c r="E88" s="13"/>
      <c r="F88" s="13"/>
      <c r="G88" s="12" t="s">
        <v>41</v>
      </c>
      <c r="H88" s="13"/>
      <c r="I88" s="13"/>
    </row>
    <row r="89" ht="15.75" customHeight="1">
      <c r="A89" s="20" t="s">
        <v>251</v>
      </c>
      <c r="B89" s="20" t="s">
        <v>116</v>
      </c>
      <c r="C89" s="20" t="s">
        <v>252</v>
      </c>
      <c r="D89" s="12" t="s">
        <v>40</v>
      </c>
      <c r="E89" s="13"/>
      <c r="F89" s="13"/>
      <c r="G89" s="12" t="s">
        <v>41</v>
      </c>
      <c r="H89" s="13"/>
      <c r="I89" s="13"/>
    </row>
    <row r="90" ht="15.75" customHeight="1">
      <c r="A90" s="20" t="s">
        <v>253</v>
      </c>
      <c r="B90" s="20" t="s">
        <v>116</v>
      </c>
      <c r="C90" s="20" t="s">
        <v>254</v>
      </c>
      <c r="D90" s="12" t="s">
        <v>40</v>
      </c>
      <c r="E90" s="13"/>
      <c r="F90" s="13"/>
      <c r="G90" s="13"/>
      <c r="H90" s="13"/>
      <c r="I90" s="13"/>
    </row>
    <row r="91" ht="15.75" customHeight="1">
      <c r="A91" s="20" t="s">
        <v>255</v>
      </c>
      <c r="B91" s="20" t="s">
        <v>116</v>
      </c>
      <c r="C91" s="20" t="s">
        <v>256</v>
      </c>
      <c r="D91" s="12" t="s">
        <v>40</v>
      </c>
      <c r="E91" s="13"/>
      <c r="F91" s="13"/>
      <c r="G91" s="13"/>
      <c r="H91" s="13"/>
      <c r="I91" s="13"/>
    </row>
    <row r="92" ht="15.75" customHeight="1">
      <c r="A92" s="20" t="s">
        <v>257</v>
      </c>
      <c r="B92" s="20" t="s">
        <v>116</v>
      </c>
      <c r="C92" s="20" t="s">
        <v>258</v>
      </c>
      <c r="D92" s="12" t="s">
        <v>40</v>
      </c>
      <c r="E92" s="13"/>
      <c r="F92" s="13"/>
      <c r="G92" s="13"/>
      <c r="H92" s="13"/>
      <c r="I92" s="13"/>
    </row>
    <row r="93" ht="15.75" customHeight="1">
      <c r="A93" s="20" t="s">
        <v>259</v>
      </c>
      <c r="B93" s="20" t="s">
        <v>116</v>
      </c>
      <c r="C93" s="20" t="s">
        <v>260</v>
      </c>
      <c r="D93" s="12" t="s">
        <v>40</v>
      </c>
      <c r="E93" s="13"/>
      <c r="F93" s="13"/>
      <c r="G93" s="13"/>
      <c r="H93" s="13"/>
      <c r="I93" s="13"/>
    </row>
    <row r="94" ht="15.75" customHeight="1">
      <c r="A94" s="20" t="s">
        <v>261</v>
      </c>
      <c r="B94" s="20" t="s">
        <v>116</v>
      </c>
      <c r="C94" s="20" t="s">
        <v>262</v>
      </c>
      <c r="D94" s="12" t="s">
        <v>52</v>
      </c>
      <c r="E94" s="12" t="s">
        <v>263</v>
      </c>
      <c r="F94" s="12" t="s">
        <v>264</v>
      </c>
      <c r="G94" s="12" t="s">
        <v>36</v>
      </c>
      <c r="H94" s="12" t="s">
        <v>265</v>
      </c>
      <c r="I94" s="13"/>
    </row>
    <row r="95" ht="15.75" customHeight="1">
      <c r="A95" s="20" t="s">
        <v>266</v>
      </c>
      <c r="B95" s="20" t="s">
        <v>116</v>
      </c>
      <c r="C95" s="20" t="s">
        <v>267</v>
      </c>
      <c r="D95" s="12" t="s">
        <v>40</v>
      </c>
      <c r="E95" s="13"/>
      <c r="F95" s="13"/>
      <c r="G95" s="12" t="s">
        <v>41</v>
      </c>
      <c r="H95" s="13"/>
      <c r="I95" s="13"/>
    </row>
    <row r="96" ht="15.75" customHeight="1">
      <c r="A96" s="20" t="s">
        <v>268</v>
      </c>
      <c r="B96" s="20" t="s">
        <v>116</v>
      </c>
      <c r="C96" s="20" t="s">
        <v>269</v>
      </c>
      <c r="D96" s="12" t="s">
        <v>40</v>
      </c>
      <c r="E96" s="13"/>
      <c r="F96" s="13"/>
      <c r="G96" s="12" t="s">
        <v>41</v>
      </c>
      <c r="H96" s="13"/>
      <c r="I96" s="13"/>
    </row>
    <row r="97" ht="15.75" customHeight="1">
      <c r="A97" s="20" t="s">
        <v>270</v>
      </c>
      <c r="B97" s="20" t="s">
        <v>116</v>
      </c>
      <c r="C97" s="20" t="s">
        <v>271</v>
      </c>
      <c r="D97" s="12" t="s">
        <v>40</v>
      </c>
      <c r="E97" s="13"/>
      <c r="F97" s="13"/>
      <c r="G97" s="12" t="s">
        <v>41</v>
      </c>
      <c r="H97" s="13"/>
      <c r="I97" s="13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conditionalFormatting sqref="D5:D97">
    <cfRule type="cellIs" dxfId="0" priority="1" operator="equal">
      <formula>"Not Implemented"</formula>
    </cfRule>
  </conditionalFormatting>
  <conditionalFormatting sqref="D5:D97">
    <cfRule type="cellIs" dxfId="1" priority="2" operator="equal">
      <formula>"Partial"</formula>
    </cfRule>
  </conditionalFormatting>
  <conditionalFormatting sqref="D5:D97">
    <cfRule type="cellIs" dxfId="2" priority="3" operator="equal">
      <formula>"Implemented"</formula>
    </cfRule>
  </conditionalFormatting>
  <conditionalFormatting sqref="D5:D97">
    <cfRule type="cellIs" dxfId="3" priority="4" operator="equal">
      <formula>"Not Applicable"</formula>
    </cfRule>
  </conditionalFormatting>
  <dataValidations>
    <dataValidation type="list" allowBlank="1" sqref="D5:D97">
      <formula1>"Implemented,Partial,Not Implemented,Not Applicable"</formula1>
    </dataValidation>
    <dataValidation type="list" allowBlank="1" sqref="G5:G97">
      <formula1>"Low,Medium,High,N/A"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0.0"/>
    <col customWidth="1" min="3" max="3" width="3.0"/>
    <col customWidth="1" min="4" max="4" width="18.0"/>
    <col customWidth="1" min="5" max="5" width="10.0"/>
    <col customWidth="1" min="6" max="6" width="14.0"/>
    <col customWidth="1" min="7" max="7" width="16.0"/>
    <col customWidth="1" min="8" max="26" width="8.71"/>
  </cols>
  <sheetData>
    <row r="1" ht="21.75" customHeight="1">
      <c r="A1" s="2" t="s">
        <v>8</v>
      </c>
    </row>
    <row r="2" ht="15.75" customHeight="1">
      <c r="A2" s="3" t="s">
        <v>11</v>
      </c>
    </row>
    <row r="4">
      <c r="A4" s="9" t="s">
        <v>14</v>
      </c>
      <c r="D4" s="9" t="s">
        <v>22</v>
      </c>
    </row>
    <row r="5">
      <c r="A5" s="8" t="s">
        <v>27</v>
      </c>
      <c r="B5" s="8" t="s">
        <v>29</v>
      </c>
      <c r="C5" s="8"/>
      <c r="D5" s="8" t="s">
        <v>13</v>
      </c>
      <c r="E5" s="8" t="s">
        <v>31</v>
      </c>
      <c r="F5" s="8" t="s">
        <v>33</v>
      </c>
      <c r="G5" s="8" t="s">
        <v>34</v>
      </c>
    </row>
    <row r="6">
      <c r="A6" s="11" t="s">
        <v>33</v>
      </c>
      <c r="B6" s="11">
        <f>COUNTIF('Gap Analysis'!D5:D97,"Implemented")</f>
        <v>6</v>
      </c>
      <c r="D6" s="11" t="s">
        <v>30</v>
      </c>
      <c r="E6" s="11">
        <f>COUNTIF('Gap Analysis'!B5:B97,"Organisational")</f>
        <v>37</v>
      </c>
      <c r="F6" s="11">
        <f>COUNTIFS('Gap Analysis'!B5:B97,"Organisational",'Gap Analysis'!D5:D97,"Implemented")</f>
        <v>0</v>
      </c>
      <c r="G6" s="11">
        <f>COUNTIFS('Gap Analysis'!B5:B97,"Organisational",'Gap Analysis'!D5:D97,"Not Implemented")</f>
        <v>3</v>
      </c>
    </row>
    <row r="7">
      <c r="A7" s="11" t="s">
        <v>52</v>
      </c>
      <c r="B7" s="11">
        <f>COUNTIF('Gap Analysis'!D5:D97,"Partial")</f>
        <v>9</v>
      </c>
      <c r="D7" s="11" t="s">
        <v>81</v>
      </c>
      <c r="E7" s="11">
        <f>COUNTIF('Gap Analysis'!B5:B97,"People")</f>
        <v>8</v>
      </c>
      <c r="F7" s="11">
        <f>COUNTIFS('Gap Analysis'!B5:B97,"People",'Gap Analysis'!D5:D97,"Implemented")</f>
        <v>0</v>
      </c>
      <c r="G7" s="11">
        <f>COUNTIFS('Gap Analysis'!B5:B97,"People",'Gap Analysis'!D5:D97,"Not Implemented")</f>
        <v>0</v>
      </c>
    </row>
    <row r="8">
      <c r="A8" s="11" t="s">
        <v>34</v>
      </c>
      <c r="B8" s="11">
        <f>COUNTIF('Gap Analysis'!D5:D97,"Not Implemented")</f>
        <v>6</v>
      </c>
      <c r="D8" s="11" t="s">
        <v>97</v>
      </c>
      <c r="E8" s="11">
        <f>COUNTIF('Gap Analysis'!B5:B97,"Physical")</f>
        <v>14</v>
      </c>
      <c r="F8" s="11">
        <f>COUNTIFS('Gap Analysis'!B5:B97,"Physical",'Gap Analysis'!D5:D97,"Implemented")</f>
        <v>1</v>
      </c>
      <c r="G8" s="11">
        <f>COUNTIFS('Gap Analysis'!B5:B97,"Physical",'Gap Analysis'!D5:D97,"Not Implemented")</f>
        <v>0</v>
      </c>
    </row>
    <row r="9">
      <c r="A9" s="11" t="s">
        <v>40</v>
      </c>
      <c r="B9" s="11">
        <f>COUNTIF('Gap Analysis'!D5:D97,"Not Applicable")</f>
        <v>72</v>
      </c>
      <c r="D9" s="11" t="s">
        <v>116</v>
      </c>
      <c r="E9" s="11">
        <f>COUNTIF('Gap Analysis'!B5:B97,"Technological")</f>
        <v>34</v>
      </c>
      <c r="F9" s="11">
        <f>COUNTIFS('Gap Analysis'!B5:B97,"Technological",'Gap Analysis'!D5:D97,"Implemented")</f>
        <v>5</v>
      </c>
      <c r="G9" s="11">
        <f>COUNTIFS('Gap Analysis'!B5:B97,"Technological",'Gap Analysis'!D5:D97,"Not Implemented")</f>
        <v>3</v>
      </c>
    </row>
    <row r="10">
      <c r="A10" s="11" t="s">
        <v>129</v>
      </c>
      <c r="B10" s="11">
        <f>COUNTBLANK('Gap Analysis'!D5:D97)</f>
        <v>0</v>
      </c>
    </row>
    <row r="11">
      <c r="A11" s="18" t="s">
        <v>133</v>
      </c>
      <c r="B11" s="18">
        <v>93.0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</worksheet>
</file>